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yan\Desktop\Excel\"/>
    </mc:Choice>
  </mc:AlternateContent>
  <xr:revisionPtr revIDLastSave="0" documentId="13_ncr:1_{C6D59F68-BFC5-4CE4-B39C-FA52F2B7EF92}" xr6:coauthVersionLast="36" xr6:coauthVersionMax="36" xr10:uidLastSave="{00000000-0000-0000-0000-000000000000}"/>
  <bookViews>
    <workbookView xWindow="0" yWindow="0" windowWidth="15200" windowHeight="6930" tabRatio="882" activeTab="1" xr2:uid="{00000000-000D-0000-FFFF-FFFF00000000}"/>
  </bookViews>
  <sheets>
    <sheet name="HOME" sheetId="1" r:id="rId1"/>
    <sheet name="Panier" sheetId="28" r:id="rId2"/>
    <sheet name="Base Articles" sheetId="17" r:id="rId3"/>
    <sheet name="Fiche Clients" sheetId="24" r:id="rId4"/>
    <sheet name="Template" sheetId="29" r:id="rId5"/>
  </sheets>
  <definedNames>
    <definedName name="_xlnm._FilterDatabase" localSheetId="3" hidden="1">'Fiche Clients'!$B$16:$O$16</definedName>
    <definedName name="_xlnm._FilterDatabase" localSheetId="1" hidden="1">Panier!$N$11:$Q$11</definedName>
    <definedName name="image">INDIRECT(VLOOKUP(#REF!,Tableau1[[#All],[Référence]:[Stock]],8,FALSE))</definedName>
    <definedName name="N_client">'Fiche Clients'!$B$18:$B$37</definedName>
    <definedName name="N°_articles" localSheetId="2">Tableau1[Numéro]</definedName>
    <definedName name="N°client">'Fiche Clients'!$B$18:$B$37</definedName>
    <definedName name="_xlnm.Print_Area" localSheetId="4">Template!$B$7:$I$47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8" i="29" l="1"/>
  <c r="C16" i="28"/>
  <c r="C17" i="28" l="1"/>
  <c r="C15" i="28"/>
  <c r="O19" i="24"/>
  <c r="O20" i="24"/>
  <c r="O21" i="24"/>
  <c r="O22" i="24"/>
  <c r="O23" i="24"/>
  <c r="O24" i="24"/>
  <c r="O25" i="24"/>
  <c r="O26" i="24"/>
  <c r="O27" i="24"/>
  <c r="O28" i="24"/>
  <c r="O29" i="24"/>
  <c r="O30" i="24"/>
  <c r="O31" i="24"/>
  <c r="O32" i="24"/>
  <c r="O33" i="24"/>
  <c r="O34" i="24"/>
  <c r="O35" i="24"/>
  <c r="O36" i="24"/>
  <c r="O37" i="24"/>
  <c r="O18" i="24"/>
  <c r="F11" i="28"/>
  <c r="Q13" i="28" l="1"/>
  <c r="Q14" i="28"/>
  <c r="Q15" i="28"/>
  <c r="Q16" i="28"/>
  <c r="Q17" i="28"/>
  <c r="Q12" i="28"/>
  <c r="Q19" i="28"/>
  <c r="Q20" i="28"/>
  <c r="Q21" i="28"/>
  <c r="Q22" i="28"/>
  <c r="Q23" i="28"/>
  <c r="C20" i="17"/>
  <c r="C21" i="17"/>
  <c r="C22" i="17"/>
  <c r="C23" i="17"/>
  <c r="C24" i="17"/>
  <c r="C25" i="17"/>
  <c r="E20" i="17"/>
  <c r="E21" i="17"/>
  <c r="E22" i="17"/>
  <c r="E23" i="17"/>
  <c r="E24" i="17"/>
  <c r="E25" i="17"/>
  <c r="I24" i="28" l="1"/>
</calcChain>
</file>

<file path=xl/sharedStrings.xml><?xml version="1.0" encoding="utf-8"?>
<sst xmlns="http://schemas.openxmlformats.org/spreadsheetml/2006/main" count="211" uniqueCount="168">
  <si>
    <t>Stock</t>
  </si>
  <si>
    <t xml:space="preserve">Fiche Article </t>
  </si>
  <si>
    <t xml:space="preserve">Fiche Client </t>
  </si>
  <si>
    <t xml:space="preserve">Echéancier </t>
  </si>
  <si>
    <t xml:space="preserve">Tableau de Bord </t>
  </si>
  <si>
    <t xml:space="preserve">Nom </t>
  </si>
  <si>
    <t xml:space="preserve">Image </t>
  </si>
  <si>
    <t xml:space="preserve">Adresse image </t>
  </si>
  <si>
    <t xml:space="preserve">Apple Cup'Crumbles </t>
  </si>
  <si>
    <t>Cup'FlowerBerry</t>
  </si>
  <si>
    <t>Cup'Rocher</t>
  </si>
  <si>
    <t>SpéCup'Cakes</t>
  </si>
  <si>
    <t>Cup'Croquant</t>
  </si>
  <si>
    <t>Cup'ChocoBerry</t>
  </si>
  <si>
    <t>Numéro</t>
  </si>
  <si>
    <t>Prix ht</t>
  </si>
  <si>
    <t>Référence</t>
  </si>
  <si>
    <t>N°CLIENT</t>
  </si>
  <si>
    <t>NOM</t>
  </si>
  <si>
    <t>Prenom</t>
  </si>
  <si>
    <t>Adresse</t>
  </si>
  <si>
    <t xml:space="preserve">Complement d'adresse </t>
  </si>
  <si>
    <t>Code postal</t>
  </si>
  <si>
    <t>Ville</t>
  </si>
  <si>
    <t>Pays</t>
  </si>
  <si>
    <t>Mail</t>
  </si>
  <si>
    <t>Tel</t>
  </si>
  <si>
    <t>Info texte</t>
  </si>
  <si>
    <t>DEBROUSSE</t>
  </si>
  <si>
    <t>PHILLIPE</t>
  </si>
  <si>
    <t>GALICE</t>
  </si>
  <si>
    <t>ALICE</t>
  </si>
  <si>
    <t>SOYEUR</t>
  </si>
  <si>
    <t>JEAN</t>
  </si>
  <si>
    <t>MURRER</t>
  </si>
  <si>
    <t>BERNARD</t>
  </si>
  <si>
    <t>EMPORIO</t>
  </si>
  <si>
    <t>GILL</t>
  </si>
  <si>
    <t>LEBRA</t>
  </si>
  <si>
    <t>LILIANE</t>
  </si>
  <si>
    <t>GAUDIT</t>
  </si>
  <si>
    <t>ISABELLE</t>
  </si>
  <si>
    <t>CORINNE</t>
  </si>
  <si>
    <t>LARUE</t>
  </si>
  <si>
    <t>DUMARTRE</t>
  </si>
  <si>
    <t>BERANGERE</t>
  </si>
  <si>
    <t>PIONS</t>
  </si>
  <si>
    <t>LOUIS</t>
  </si>
  <si>
    <t>DEVICE</t>
  </si>
  <si>
    <t>JEAN-PIERRE</t>
  </si>
  <si>
    <t>MAZEL</t>
  </si>
  <si>
    <t>YVES</t>
  </si>
  <si>
    <t>CHAKMANI</t>
  </si>
  <si>
    <t>MAMAR</t>
  </si>
  <si>
    <t>AHMED</t>
  </si>
  <si>
    <t>SILLA</t>
  </si>
  <si>
    <t>FAMIGLIETI</t>
  </si>
  <si>
    <t>DIANE</t>
  </si>
  <si>
    <t>AMORETI</t>
  </si>
  <si>
    <t>GIOVANI</t>
  </si>
  <si>
    <t>LORENZO</t>
  </si>
  <si>
    <t>DAVID</t>
  </si>
  <si>
    <t>JASON</t>
  </si>
  <si>
    <t>COHEN</t>
  </si>
  <si>
    <t>LOURENCO</t>
  </si>
  <si>
    <t>LOPES</t>
  </si>
  <si>
    <t>CISSEE</t>
  </si>
  <si>
    <t>MAMADA</t>
  </si>
  <si>
    <t>6 RUE DES DEYMES</t>
  </si>
  <si>
    <t>LE VERSOUD</t>
  </si>
  <si>
    <t>France</t>
  </si>
  <si>
    <t>33 RUE DE BONNEL</t>
  </si>
  <si>
    <t>BAT A</t>
  </si>
  <si>
    <t>LYON</t>
  </si>
  <si>
    <t xml:space="preserve">France </t>
  </si>
  <si>
    <t>74 AVENUE DE CONSTANTINE</t>
  </si>
  <si>
    <t>ECHIROLLES</t>
  </si>
  <si>
    <t>44 RUE DU PORTAIL</t>
  </si>
  <si>
    <t>MARSEILLE</t>
  </si>
  <si>
    <t xml:space="preserve">63 RUE DE LA REPUBLIQUE </t>
  </si>
  <si>
    <t xml:space="preserve">MARSEILLE </t>
  </si>
  <si>
    <t>72 BOULEVARD DE STRASBOURG</t>
  </si>
  <si>
    <t>2 RUE BOURGMAYER</t>
  </si>
  <si>
    <t xml:space="preserve">BOURG EN BRESSE </t>
  </si>
  <si>
    <t>155 ROUTE DE TURIN</t>
  </si>
  <si>
    <t xml:space="preserve">NICE </t>
  </si>
  <si>
    <t>BAT 22 - ESCALIER 1</t>
  </si>
  <si>
    <t>5 IMPASSE HECTOR BERLIOZE</t>
  </si>
  <si>
    <t>LES PENNES MIRABEAU</t>
  </si>
  <si>
    <t xml:space="preserve">3800 RD 113 </t>
  </si>
  <si>
    <t>TRANSPORTS SUMA</t>
  </si>
  <si>
    <t>ROGNAC</t>
  </si>
  <si>
    <t>76 TRAVERSE TIBOULEN</t>
  </si>
  <si>
    <t>25 RUE DE CUQUES</t>
  </si>
  <si>
    <t xml:space="preserve">AIX EN PROVENCE </t>
  </si>
  <si>
    <t xml:space="preserve">61 RUE DES VERTUES </t>
  </si>
  <si>
    <t>RESIDENCE STUDELITES</t>
  </si>
  <si>
    <t>7 AVENUE ANTONIO AUGUSTIN</t>
  </si>
  <si>
    <t>5 IMPASSE DELMONT</t>
  </si>
  <si>
    <t>MARIGNANE</t>
  </si>
  <si>
    <t xml:space="preserve">VITROLLES </t>
  </si>
  <si>
    <t>423 AVENUE GASTON BERGER</t>
  </si>
  <si>
    <t>168 RUE SAINT PIERRE</t>
  </si>
  <si>
    <t xml:space="preserve">16 RUE DOCTEUR FIGHIERA </t>
  </si>
  <si>
    <t>47 AVENUE JEAN GIONO</t>
  </si>
  <si>
    <t>MANOSQUE</t>
  </si>
  <si>
    <t>10 CHEMIIN DU BASSIN</t>
  </si>
  <si>
    <t>MARTIGUES</t>
  </si>
  <si>
    <t>debrousse.phillipe@gmail.com</t>
  </si>
  <si>
    <t>galice.alice@gmail.com</t>
  </si>
  <si>
    <t>soyeur.jean@gmail.com</t>
  </si>
  <si>
    <t>murrer.bernard@gmail.com</t>
  </si>
  <si>
    <t>emporio.gill@gmail.com</t>
  </si>
  <si>
    <t>lebra.liliane@gmail.com</t>
  </si>
  <si>
    <t>gaudit.isabelle@gmail.com</t>
  </si>
  <si>
    <t>larue.corinne@gmail.com</t>
  </si>
  <si>
    <t>dumartre.berangere@gmail.com</t>
  </si>
  <si>
    <t>pions.louis@gmail.com</t>
  </si>
  <si>
    <t>device.jean-pierre@gmail.com</t>
  </si>
  <si>
    <t>mazel.yves@gmail.com</t>
  </si>
  <si>
    <t>chakmani.mamar@gmail.com</t>
  </si>
  <si>
    <t>cissee.mamada@gmail.com</t>
  </si>
  <si>
    <t>famiglieti.diane@gmail.com</t>
  </si>
  <si>
    <t>silla.ahmed@gmail.com</t>
  </si>
  <si>
    <t>amoreti.giovani@gmail.com</t>
  </si>
  <si>
    <t>lopes.jason@gmail.com</t>
  </si>
  <si>
    <t>lourenco.lorenzo@gmail.com</t>
  </si>
  <si>
    <t>cohen.david@gmail.com</t>
  </si>
  <si>
    <t>Date</t>
  </si>
  <si>
    <t>N° article</t>
  </si>
  <si>
    <t>Nom Article</t>
  </si>
  <si>
    <t>Prix HT</t>
  </si>
  <si>
    <t>Quantité</t>
  </si>
  <si>
    <t>Article</t>
  </si>
  <si>
    <t xml:space="preserve">Stock </t>
  </si>
  <si>
    <t xml:space="preserve">Prix unitaire </t>
  </si>
  <si>
    <t>Total</t>
  </si>
  <si>
    <t>&lt;Conditions de paiement, par exemple: dû dans X jours&gt;</t>
  </si>
  <si>
    <t>Destinataire</t>
  </si>
  <si>
    <t>REMISE</t>
  </si>
  <si>
    <t>SOUS-TOTAL MOINS LES REMISES</t>
  </si>
  <si>
    <t>SweetyCakes</t>
  </si>
  <si>
    <t>"Un plaisir gourmand sans limite"</t>
  </si>
  <si>
    <t>52 rue de la république    13002 Marseille</t>
  </si>
  <si>
    <t>SOUS-TOTAL HT</t>
  </si>
  <si>
    <t>TVA (20 %)</t>
  </si>
  <si>
    <t>Livraison</t>
  </si>
  <si>
    <t>Acompte</t>
  </si>
  <si>
    <t>Template</t>
  </si>
  <si>
    <t xml:space="preserve">Panier </t>
  </si>
  <si>
    <t xml:space="preserve">N° de client </t>
  </si>
  <si>
    <t xml:space="preserve">Remise </t>
  </si>
  <si>
    <t>Client :</t>
  </si>
  <si>
    <t xml:space="preserve">Edition : </t>
  </si>
  <si>
    <t>N° de document</t>
  </si>
  <si>
    <t>Description</t>
  </si>
  <si>
    <t>FORMULE</t>
  </si>
  <si>
    <t>SOLDE DÛ</t>
  </si>
  <si>
    <t>Volume de commandes</t>
  </si>
  <si>
    <t>Nombre de commandes</t>
  </si>
  <si>
    <t>Fiche</t>
  </si>
  <si>
    <t>https://cupcakes97.herokuapp.com/Sp%C3%A9Cup'Cakes</t>
  </si>
  <si>
    <t>https://cupcakes97.herokuapp.com/Cup'Rocher</t>
  </si>
  <si>
    <t>https://cupcakes97.herokuapp.com/Cup'FlowerBerry</t>
  </si>
  <si>
    <t>https://cupcakes97.herokuapp.com/Cup'Croquant</t>
  </si>
  <si>
    <t>https://cupcakes97.herokuapp.com/Cup'ChocoBerry</t>
  </si>
  <si>
    <t>https://cupcakes97.herokuapp.com/Apple%20Cup'Crumbles</t>
  </si>
  <si>
    <t>Fidélité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</si>
</sst>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7" formatCode="#,##0.00\ &quot;€&quot;;\-#,##0.0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#,##0.00\ &quot;€&quot;"/>
    <numFmt numFmtId="165" formatCode="00000"/>
    <numFmt numFmtId="166" formatCode="0#&quot; &quot;##&quot; &quot;##&quot; &quot;##&quot; &quot;##"/>
  </numFmts>
  <fonts count="43">
    <font>
      <sz val="11"/>
      <color theme="1"/>
      <name val="Calibri"/>
      <family val="2"/>
      <scheme val="minor"/>
    </font>
    <font>
      <b/>
      <sz val="18"/>
      <color rgb="FFCC0099"/>
      <name val="Ecolier"/>
      <family val="2"/>
      <charset val="2"/>
    </font>
    <font>
      <b/>
      <sz val="72"/>
      <color rgb="FFCCFFCC"/>
      <name val="Ecolier"/>
      <family val="2"/>
      <charset val="2"/>
    </font>
    <font>
      <sz val="8"/>
      <name val="Calibri"/>
      <family val="2"/>
      <scheme val="minor"/>
    </font>
    <font>
      <b/>
      <sz val="24"/>
      <color theme="1"/>
      <name val="Gabriola"/>
      <family val="5"/>
    </font>
    <font>
      <b/>
      <sz val="24"/>
      <color rgb="FFCC99FF"/>
      <name val="Gabriola"/>
      <family val="5"/>
    </font>
    <font>
      <sz val="24"/>
      <color theme="1"/>
      <name val="Gabriola"/>
      <family val="5"/>
    </font>
    <font>
      <b/>
      <sz val="24"/>
      <color rgb="FFC00000"/>
      <name val="Gabriola"/>
      <family val="5"/>
    </font>
    <font>
      <sz val="11"/>
      <color theme="1"/>
      <name val="Gabriola"/>
      <family val="5"/>
    </font>
    <font>
      <b/>
      <i/>
      <sz val="36"/>
      <color theme="1"/>
      <name val="Gabriola"/>
      <family val="5"/>
    </font>
    <font>
      <b/>
      <u/>
      <sz val="26"/>
      <color rgb="FFFF9900"/>
      <name val="Gabriola"/>
      <family val="5"/>
    </font>
    <font>
      <b/>
      <sz val="20"/>
      <color rgb="FFCC0099"/>
      <name val="Gabriola"/>
      <family val="5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rgb="FF000000"/>
      <name val="Roboto"/>
    </font>
    <font>
      <b/>
      <sz val="20"/>
      <color rgb="FFA5A5A5"/>
      <name val="Roboto"/>
    </font>
    <font>
      <b/>
      <sz val="22"/>
      <color rgb="FF4472C4"/>
      <name val="Roboto"/>
    </font>
    <font>
      <sz val="10"/>
      <name val="Roboto"/>
    </font>
    <font>
      <sz val="11"/>
      <color rgb="FF333F4F"/>
      <name val="Roboto"/>
    </font>
    <font>
      <sz val="18"/>
      <color rgb="FF7F7F7F"/>
      <name val="Roboto"/>
    </font>
    <font>
      <sz val="11"/>
      <color rgb="FFFFFFFF"/>
      <name val="Roboto"/>
    </font>
    <font>
      <b/>
      <sz val="9"/>
      <color rgb="FF1F3864"/>
      <name val="Roboto"/>
    </font>
    <font>
      <sz val="10"/>
      <color rgb="FF000000"/>
      <name val="Roboto"/>
    </font>
    <font>
      <sz val="11"/>
      <color rgb="FF1F3864"/>
      <name val="Roboto"/>
    </font>
    <font>
      <sz val="9"/>
      <color rgb="FF000000"/>
      <name val="Roboto"/>
    </font>
    <font>
      <b/>
      <sz val="12"/>
      <color rgb="FF333F4F"/>
      <name val="Roboto"/>
    </font>
    <font>
      <b/>
      <sz val="8"/>
      <color rgb="FF333F4F"/>
      <name val="Roboto"/>
    </font>
    <font>
      <sz val="18"/>
      <color rgb="FF333F4F"/>
      <name val="Roboto"/>
    </font>
    <font>
      <b/>
      <sz val="14"/>
      <name val="Roboto"/>
    </font>
    <font>
      <b/>
      <sz val="9"/>
      <name val="Roboto"/>
    </font>
    <font>
      <sz val="14"/>
      <name val="Roboto"/>
    </font>
    <font>
      <sz val="14"/>
      <color rgb="FFFFFFFF"/>
      <name val="CommercialScript BT"/>
      <family val="4"/>
    </font>
    <font>
      <sz val="14"/>
      <color rgb="FF1F3864"/>
      <name val="Roboto"/>
    </font>
    <font>
      <i/>
      <sz val="8"/>
      <color rgb="FF333F4F"/>
      <name val="Roboto"/>
    </font>
    <font>
      <b/>
      <sz val="20"/>
      <color rgb="FFFF9900"/>
      <name val="CommercialScript BT"/>
      <family val="4"/>
    </font>
    <font>
      <i/>
      <sz val="14"/>
      <color rgb="FFFF0000"/>
      <name val="CommercialScript BT"/>
      <family val="4"/>
    </font>
    <font>
      <sz val="18"/>
      <color rgb="FF1F3864"/>
      <name val="CommercialScript BT"/>
      <family val="4"/>
    </font>
    <font>
      <sz val="18"/>
      <color rgb="FF002060"/>
      <name val="CommercialScript BT"/>
      <family val="4"/>
    </font>
    <font>
      <sz val="14"/>
      <color theme="1"/>
      <name val="Gabriola"/>
      <family val="5"/>
    </font>
    <font>
      <sz val="18"/>
      <color theme="1"/>
      <name val="Gabriola"/>
      <family val="5"/>
    </font>
    <font>
      <b/>
      <sz val="9"/>
      <color rgb="FF000000"/>
      <name val="Roboto"/>
    </font>
    <font>
      <sz val="11"/>
      <color theme="1"/>
      <name val="Calibri"/>
      <family val="2"/>
      <scheme val="minor"/>
    </font>
    <font>
      <sz val="24"/>
      <color theme="1"/>
      <name val="Gabriola"/>
    </font>
  </fonts>
  <fills count="14">
    <fill>
      <patternFill patternType="none"/>
    </fill>
    <fill>
      <patternFill patternType="gray125"/>
    </fill>
    <fill>
      <patternFill patternType="solid">
        <fgColor rgb="FFFFCC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3F3F3"/>
        <bgColor rgb="FFF3F3F3"/>
      </patternFill>
    </fill>
    <fill>
      <patternFill patternType="solid">
        <fgColor rgb="FFF4CCCC"/>
        <bgColor rgb="FFF4CCCC"/>
      </patternFill>
    </fill>
    <fill>
      <patternFill patternType="solid">
        <fgColor rgb="FFFF99CC"/>
        <bgColor rgb="FFFF572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13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rgb="FFBFBFBF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/>
      <top/>
      <bottom style="thin">
        <color rgb="FF999999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/>
      <bottom/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medium">
        <color rgb="FFFFC000"/>
      </left>
      <right/>
      <top style="medium">
        <color rgb="FFFFC000"/>
      </top>
      <bottom/>
      <diagonal/>
    </border>
    <border>
      <left/>
      <right/>
      <top style="medium">
        <color rgb="FFFFC000"/>
      </top>
      <bottom/>
      <diagonal/>
    </border>
    <border>
      <left/>
      <right style="medium">
        <color rgb="FFFFC000"/>
      </right>
      <top style="medium">
        <color rgb="FFFFC000"/>
      </top>
      <bottom/>
      <diagonal/>
    </border>
    <border>
      <left style="medium">
        <color rgb="FFFFC000"/>
      </left>
      <right/>
      <top/>
      <bottom/>
      <diagonal/>
    </border>
    <border>
      <left/>
      <right style="medium">
        <color rgb="FFFFC000"/>
      </right>
      <top/>
      <bottom/>
      <diagonal/>
    </border>
    <border>
      <left style="medium">
        <color rgb="FFFFC000"/>
      </left>
      <right/>
      <top/>
      <bottom style="medium">
        <color rgb="FFFFC000"/>
      </bottom>
      <diagonal/>
    </border>
    <border>
      <left/>
      <right/>
      <top/>
      <bottom style="medium">
        <color rgb="FFFFC000"/>
      </bottom>
      <diagonal/>
    </border>
    <border>
      <left/>
      <right style="medium">
        <color rgb="FFFFC000"/>
      </right>
      <top/>
      <bottom style="medium">
        <color rgb="FFFFC00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BFBFBF"/>
      </top>
      <bottom/>
      <diagonal/>
    </border>
    <border>
      <left style="thick">
        <color rgb="FFFF99CC"/>
      </left>
      <right/>
      <top style="thick">
        <color rgb="FFFF99CC"/>
      </top>
      <bottom style="thick">
        <color rgb="FFFF99CC"/>
      </bottom>
      <diagonal/>
    </border>
    <border>
      <left/>
      <right style="thick">
        <color rgb="FFFF99CC"/>
      </right>
      <top style="thick">
        <color rgb="FFFF99CC"/>
      </top>
      <bottom style="thick">
        <color rgb="FFFF99CC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FF0066"/>
      </left>
      <right style="thin">
        <color rgb="FFFF0066"/>
      </right>
      <top style="medium">
        <color rgb="FFFF0066"/>
      </top>
      <bottom/>
      <diagonal/>
    </border>
    <border>
      <left style="thin">
        <color rgb="FFFF0066"/>
      </left>
      <right style="thin">
        <color rgb="FFFF0066"/>
      </right>
      <top style="medium">
        <color rgb="FFFF0066"/>
      </top>
      <bottom/>
      <diagonal/>
    </border>
    <border>
      <left style="thin">
        <color rgb="FFFF0066"/>
      </left>
      <right style="medium">
        <color rgb="FFFF0066"/>
      </right>
      <top style="medium">
        <color rgb="FFFF0066"/>
      </top>
      <bottom/>
      <diagonal/>
    </border>
    <border>
      <left style="medium">
        <color rgb="FFFF0066"/>
      </left>
      <right style="thin">
        <color rgb="FFFF0066"/>
      </right>
      <top/>
      <bottom/>
      <diagonal/>
    </border>
    <border>
      <left style="thin">
        <color rgb="FFFF0066"/>
      </left>
      <right style="thin">
        <color rgb="FFFF0066"/>
      </right>
      <top/>
      <bottom/>
      <diagonal/>
    </border>
    <border>
      <left style="medium">
        <color rgb="FFFF0066"/>
      </left>
      <right style="thin">
        <color rgb="FFFF0066"/>
      </right>
      <top/>
      <bottom style="medium">
        <color rgb="FFFF0066"/>
      </bottom>
      <diagonal/>
    </border>
    <border>
      <left style="thin">
        <color rgb="FFFF0066"/>
      </left>
      <right style="thin">
        <color rgb="FFFF0066"/>
      </right>
      <top/>
      <bottom style="medium">
        <color rgb="FFFF0066"/>
      </bottom>
      <diagonal/>
    </border>
    <border>
      <left style="medium">
        <color rgb="FFFF0066"/>
      </left>
      <right style="thin">
        <color rgb="FFFF0066"/>
      </right>
      <top style="medium">
        <color rgb="FFFF0066"/>
      </top>
      <bottom style="medium">
        <color rgb="FFFF0066"/>
      </bottom>
      <diagonal/>
    </border>
    <border>
      <left style="thin">
        <color rgb="FFFF0066"/>
      </left>
      <right style="thin">
        <color rgb="FFFF0066"/>
      </right>
      <top style="medium">
        <color rgb="FFFF0066"/>
      </top>
      <bottom style="medium">
        <color rgb="FFFF0066"/>
      </bottom>
      <diagonal/>
    </border>
    <border>
      <left style="thin">
        <color rgb="FFFF0066"/>
      </left>
      <right style="medium">
        <color rgb="FFFF0066"/>
      </right>
      <top style="medium">
        <color rgb="FFFF0066"/>
      </top>
      <bottom style="medium">
        <color rgb="FFFF0066"/>
      </bottom>
      <diagonal/>
    </border>
    <border>
      <left/>
      <right style="hair">
        <color rgb="FFFF9900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41" fillId="0" borderId="0" applyFont="0" applyFill="0" applyBorder="0" applyAlignment="0" applyProtection="0"/>
  </cellStyleXfs>
  <cellXfs count="158">
    <xf numFmtId="0" fontId="0" fillId="0" borderId="0" xfId="0"/>
    <xf numFmtId="0" fontId="0" fillId="2" borderId="0" xfId="0" applyFill="1"/>
    <xf numFmtId="0" fontId="2" fillId="2" borderId="0" xfId="0" applyFont="1" applyFill="1" applyBorder="1" applyAlignment="1">
      <alignment vertical="top"/>
    </xf>
    <xf numFmtId="0" fontId="0" fillId="3" borderId="0" xfId="0" applyFill="1"/>
    <xf numFmtId="0" fontId="0" fillId="2" borderId="0" xfId="0" applyFill="1" applyBorder="1"/>
    <xf numFmtId="0" fontId="4" fillId="0" borderId="3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164" fontId="7" fillId="0" borderId="1" xfId="0" applyNumberFormat="1" applyFont="1" applyFill="1" applyBorder="1" applyAlignment="1">
      <alignment horizontal="center" vertical="center"/>
    </xf>
    <xf numFmtId="0" fontId="6" fillId="0" borderId="4" xfId="0" applyFont="1" applyFill="1" applyBorder="1" applyAlignment="1">
      <alignment vertical="center"/>
    </xf>
    <xf numFmtId="0" fontId="4" fillId="0" borderId="5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0" borderId="7" xfId="0" applyFont="1" applyFill="1" applyBorder="1" applyAlignment="1">
      <alignment vertical="center"/>
    </xf>
    <xf numFmtId="0" fontId="1" fillId="2" borderId="0" xfId="0" applyFont="1" applyFill="1" applyAlignment="1">
      <alignment vertical="center"/>
    </xf>
    <xf numFmtId="0" fontId="8" fillId="3" borderId="0" xfId="0" applyFont="1" applyFill="1"/>
    <xf numFmtId="0" fontId="9" fillId="0" borderId="2" xfId="0" applyFont="1" applyFill="1" applyBorder="1" applyAlignment="1">
      <alignment horizontal="center"/>
    </xf>
    <xf numFmtId="0" fontId="8" fillId="0" borderId="0" xfId="0" applyFont="1"/>
    <xf numFmtId="0" fontId="8" fillId="2" borderId="0" xfId="0" applyFont="1" applyFill="1" applyBorder="1"/>
    <xf numFmtId="0" fontId="10" fillId="2" borderId="0" xfId="0" applyFont="1" applyFill="1" applyBorder="1" applyAlignment="1">
      <alignment vertical="center" wrapText="1"/>
    </xf>
    <xf numFmtId="0" fontId="8" fillId="2" borderId="0" xfId="0" applyFont="1" applyFill="1"/>
    <xf numFmtId="0" fontId="8" fillId="2" borderId="0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0" fillId="3" borderId="1" xfId="0" applyFill="1" applyBorder="1" applyAlignment="1">
      <alignment horizontal="center" vertical="center"/>
    </xf>
    <xf numFmtId="165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166" fontId="0" fillId="3" borderId="1" xfId="0" applyNumberFormat="1" applyFill="1" applyBorder="1"/>
    <xf numFmtId="0" fontId="0" fillId="3" borderId="1" xfId="0" applyFill="1" applyBorder="1" applyAlignment="1"/>
    <xf numFmtId="0" fontId="21" fillId="7" borderId="8" xfId="0" applyFont="1" applyFill="1" applyBorder="1" applyAlignment="1">
      <alignment horizontal="center" vertical="center"/>
    </xf>
    <xf numFmtId="0" fontId="21" fillId="0" borderId="8" xfId="0" applyFont="1" applyBorder="1" applyAlignment="1">
      <alignment horizontal="left" vertical="center"/>
    </xf>
    <xf numFmtId="0" fontId="23" fillId="0" borderId="8" xfId="0" applyFont="1" applyBorder="1" applyAlignment="1">
      <alignment vertical="center"/>
    </xf>
    <xf numFmtId="0" fontId="24" fillId="0" borderId="8" xfId="0" applyFont="1" applyBorder="1" applyAlignment="1">
      <alignment vertical="center"/>
    </xf>
    <xf numFmtId="0" fontId="24" fillId="0" borderId="14" xfId="0" applyFont="1" applyBorder="1" applyAlignment="1">
      <alignment vertical="center"/>
    </xf>
    <xf numFmtId="10" fontId="24" fillId="0" borderId="14" xfId="0" applyNumberFormat="1" applyFont="1" applyBorder="1" applyAlignment="1">
      <alignment vertical="center"/>
    </xf>
    <xf numFmtId="0" fontId="13" fillId="0" borderId="0" xfId="0" applyFont="1"/>
    <xf numFmtId="0" fontId="15" fillId="9" borderId="19" xfId="0" applyFont="1" applyFill="1" applyBorder="1" applyAlignment="1">
      <alignment vertical="center"/>
    </xf>
    <xf numFmtId="0" fontId="16" fillId="9" borderId="19" xfId="0" applyFont="1" applyFill="1" applyBorder="1" applyAlignment="1">
      <alignment vertical="center"/>
    </xf>
    <xf numFmtId="0" fontId="16" fillId="9" borderId="19" xfId="0" applyFont="1" applyFill="1" applyBorder="1" applyAlignment="1">
      <alignment horizontal="right" vertical="center"/>
    </xf>
    <xf numFmtId="0" fontId="16" fillId="9" borderId="20" xfId="0" applyFont="1" applyFill="1" applyBorder="1" applyAlignment="1">
      <alignment horizontal="right" vertical="center"/>
    </xf>
    <xf numFmtId="0" fontId="16" fillId="7" borderId="0" xfId="0" applyFont="1" applyFill="1" applyBorder="1" applyAlignment="1">
      <alignment vertical="center"/>
    </xf>
    <xf numFmtId="0" fontId="16" fillId="7" borderId="0" xfId="0" applyFont="1" applyFill="1" applyBorder="1" applyAlignment="1">
      <alignment horizontal="right" vertical="center"/>
    </xf>
    <xf numFmtId="0" fontId="16" fillId="7" borderId="22" xfId="0" applyFont="1" applyFill="1" applyBorder="1" applyAlignment="1">
      <alignment horizontal="right" vertical="center"/>
    </xf>
    <xf numFmtId="0" fontId="19" fillId="7" borderId="0" xfId="0" applyFont="1" applyFill="1" applyBorder="1" applyAlignment="1">
      <alignment horizontal="left" vertical="center" wrapText="1"/>
    </xf>
    <xf numFmtId="0" fontId="14" fillId="7" borderId="0" xfId="0" applyFont="1" applyFill="1" applyBorder="1" applyAlignment="1">
      <alignment vertical="center"/>
    </xf>
    <xf numFmtId="0" fontId="17" fillId="7" borderId="0" xfId="0" applyFont="1" applyFill="1" applyBorder="1"/>
    <xf numFmtId="0" fontId="19" fillId="7" borderId="22" xfId="0" applyFont="1" applyFill="1" applyBorder="1" applyAlignment="1">
      <alignment horizontal="left" vertical="center" wrapText="1"/>
    </xf>
    <xf numFmtId="0" fontId="35" fillId="7" borderId="0" xfId="0" applyFont="1" applyFill="1" applyBorder="1" applyAlignment="1">
      <alignment horizontal="left" vertical="top"/>
    </xf>
    <xf numFmtId="0" fontId="18" fillId="7" borderId="0" xfId="0" applyFont="1" applyFill="1" applyBorder="1" applyAlignment="1">
      <alignment horizontal="left" vertical="center"/>
    </xf>
    <xf numFmtId="0" fontId="20" fillId="7" borderId="0" xfId="0" applyFont="1" applyFill="1" applyBorder="1" applyAlignment="1">
      <alignment horizontal="center" vertical="center"/>
    </xf>
    <xf numFmtId="0" fontId="21" fillId="7" borderId="22" xfId="0" applyFont="1" applyFill="1" applyBorder="1" applyAlignment="1">
      <alignment horizontal="center" vertical="center"/>
    </xf>
    <xf numFmtId="0" fontId="22" fillId="7" borderId="0" xfId="0" applyFont="1" applyFill="1" applyBorder="1" applyAlignment="1">
      <alignment horizontal="center" vertical="center"/>
    </xf>
    <xf numFmtId="0" fontId="22" fillId="7" borderId="22" xfId="0" applyFont="1" applyFill="1" applyBorder="1" applyAlignment="1">
      <alignment horizontal="center" vertical="center"/>
    </xf>
    <xf numFmtId="0" fontId="18" fillId="0" borderId="0" xfId="0" applyFont="1" applyBorder="1" applyAlignment="1">
      <alignment horizontal="left" vertical="center"/>
    </xf>
    <xf numFmtId="0" fontId="14" fillId="0" borderId="0" xfId="0" applyFont="1" applyBorder="1" applyAlignment="1">
      <alignment vertical="center"/>
    </xf>
    <xf numFmtId="0" fontId="20" fillId="0" borderId="22" xfId="0" applyFont="1" applyBorder="1" applyAlignment="1">
      <alignment horizontal="center" vertical="center"/>
    </xf>
    <xf numFmtId="0" fontId="17" fillId="0" borderId="21" xfId="0" applyFont="1" applyBorder="1"/>
    <xf numFmtId="0" fontId="23" fillId="0" borderId="22" xfId="0" applyFont="1" applyBorder="1" applyAlignment="1">
      <alignment vertical="center"/>
    </xf>
    <xf numFmtId="0" fontId="14" fillId="0" borderId="22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0" xfId="0" applyFont="1" applyBorder="1" applyAlignment="1">
      <alignment horizontal="left" vertical="center"/>
    </xf>
    <xf numFmtId="0" fontId="22" fillId="0" borderId="22" xfId="0" applyFont="1" applyBorder="1" applyAlignment="1">
      <alignment horizontal="left" vertical="center"/>
    </xf>
    <xf numFmtId="0" fontId="0" fillId="0" borderId="0" xfId="0" applyBorder="1"/>
    <xf numFmtId="0" fontId="22" fillId="0" borderId="22" xfId="0" applyFont="1" applyBorder="1" applyAlignment="1">
      <alignment horizontal="center" vertical="center"/>
    </xf>
    <xf numFmtId="0" fontId="30" fillId="0" borderId="21" xfId="0" applyFont="1" applyBorder="1"/>
    <xf numFmtId="0" fontId="31" fillId="9" borderId="0" xfId="0" applyFont="1" applyFill="1" applyBorder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0" fontId="24" fillId="0" borderId="22" xfId="0" applyFont="1" applyBorder="1" applyAlignment="1">
      <alignment horizontal="right" vertical="center"/>
    </xf>
    <xf numFmtId="0" fontId="25" fillId="0" borderId="0" xfId="0" applyFont="1" applyBorder="1" applyAlignment="1">
      <alignment horizontal="right"/>
    </xf>
    <xf numFmtId="0" fontId="26" fillId="0" borderId="0" xfId="0" applyFont="1" applyBorder="1" applyAlignment="1">
      <alignment horizontal="right" vertical="center"/>
    </xf>
    <xf numFmtId="0" fontId="24" fillId="0" borderId="22" xfId="0" applyFont="1" applyBorder="1" applyAlignment="1">
      <alignment vertical="center"/>
    </xf>
    <xf numFmtId="0" fontId="17" fillId="0" borderId="21" xfId="0" applyFont="1" applyBorder="1" applyAlignment="1"/>
    <xf numFmtId="0" fontId="17" fillId="0" borderId="0" xfId="0" applyFont="1" applyBorder="1" applyAlignment="1"/>
    <xf numFmtId="0" fontId="22" fillId="0" borderId="0" xfId="0" applyFont="1" applyBorder="1" applyAlignment="1">
      <alignment vertical="center" wrapText="1"/>
    </xf>
    <xf numFmtId="0" fontId="27" fillId="0" borderId="0" xfId="0" applyFont="1" applyBorder="1" applyAlignment="1">
      <alignment vertical="center"/>
    </xf>
    <xf numFmtId="0" fontId="29" fillId="0" borderId="22" xfId="0" applyFont="1" applyBorder="1" applyAlignment="1">
      <alignment vertical="center"/>
    </xf>
    <xf numFmtId="0" fontId="17" fillId="0" borderId="22" xfId="0" applyFont="1" applyBorder="1" applyAlignment="1"/>
    <xf numFmtId="0" fontId="17" fillId="9" borderId="24" xfId="0" applyFont="1" applyFill="1" applyBorder="1"/>
    <xf numFmtId="0" fontId="17" fillId="9" borderId="25" xfId="0" applyFont="1" applyFill="1" applyBorder="1"/>
    <xf numFmtId="0" fontId="11" fillId="2" borderId="0" xfId="0" applyFont="1" applyFill="1" applyBorder="1" applyAlignment="1">
      <alignment vertical="center"/>
    </xf>
    <xf numFmtId="0" fontId="8" fillId="2" borderId="0" xfId="0" applyFont="1" applyFill="1" applyBorder="1" applyAlignment="1">
      <alignment horizontal="left"/>
    </xf>
    <xf numFmtId="0" fontId="24" fillId="0" borderId="27" xfId="0" applyFont="1" applyBorder="1" applyAlignment="1">
      <alignment vertical="center"/>
    </xf>
    <xf numFmtId="0" fontId="25" fillId="0" borderId="28" xfId="0" applyFont="1" applyBorder="1" applyAlignment="1">
      <alignment horizontal="right" vertical="center"/>
    </xf>
    <xf numFmtId="8" fontId="28" fillId="8" borderId="29" xfId="0" applyNumberFormat="1" applyFont="1" applyFill="1" applyBorder="1" applyAlignment="1">
      <alignment vertical="center"/>
    </xf>
    <xf numFmtId="0" fontId="13" fillId="10" borderId="0" xfId="0" applyFont="1" applyFill="1"/>
    <xf numFmtId="0" fontId="0" fillId="10" borderId="0" xfId="0" applyFill="1"/>
    <xf numFmtId="0" fontId="13" fillId="10" borderId="0" xfId="0" applyFont="1" applyFill="1" applyAlignment="1">
      <alignment horizontal="center"/>
    </xf>
    <xf numFmtId="0" fontId="13" fillId="11" borderId="30" xfId="0" applyFont="1" applyFill="1" applyBorder="1" applyAlignment="1">
      <alignment horizontal="center" vertical="center"/>
    </xf>
    <xf numFmtId="14" fontId="13" fillId="4" borderId="30" xfId="0" applyNumberFormat="1" applyFont="1" applyFill="1" applyBorder="1" applyAlignment="1">
      <alignment horizontal="center" vertical="center"/>
    </xf>
    <xf numFmtId="9" fontId="13" fillId="6" borderId="30" xfId="0" applyNumberFormat="1" applyFont="1" applyFill="1" applyBorder="1" applyAlignment="1">
      <alignment horizontal="center" vertical="center"/>
    </xf>
    <xf numFmtId="0" fontId="38" fillId="5" borderId="30" xfId="0" applyFont="1" applyFill="1" applyBorder="1"/>
    <xf numFmtId="0" fontId="38" fillId="5" borderId="30" xfId="0" applyFont="1" applyFill="1" applyBorder="1" applyAlignment="1">
      <alignment horizontal="center"/>
    </xf>
    <xf numFmtId="0" fontId="38" fillId="5" borderId="42" xfId="0" applyFont="1" applyFill="1" applyBorder="1"/>
    <xf numFmtId="0" fontId="38" fillId="5" borderId="43" xfId="0" applyFont="1" applyFill="1" applyBorder="1"/>
    <xf numFmtId="0" fontId="38" fillId="5" borderId="43" xfId="0" applyFont="1" applyFill="1" applyBorder="1" applyAlignment="1">
      <alignment horizontal="center" vertical="center"/>
    </xf>
    <xf numFmtId="0" fontId="38" fillId="5" borderId="44" xfId="0" applyFont="1" applyFill="1" applyBorder="1" applyAlignment="1">
      <alignment horizontal="center" vertical="center"/>
    </xf>
    <xf numFmtId="0" fontId="13" fillId="10" borderId="45" xfId="0" applyFont="1" applyFill="1" applyBorder="1"/>
    <xf numFmtId="0" fontId="0" fillId="10" borderId="0" xfId="0" applyFill="1" applyAlignment="1">
      <alignment horizontal="center"/>
    </xf>
    <xf numFmtId="0" fontId="13" fillId="13" borderId="30" xfId="0" applyFont="1" applyFill="1" applyBorder="1" applyAlignment="1">
      <alignment horizontal="center" vertical="center"/>
    </xf>
    <xf numFmtId="0" fontId="17" fillId="0" borderId="21" xfId="0" applyFont="1" applyBorder="1"/>
    <xf numFmtId="14" fontId="22" fillId="7" borderId="0" xfId="0" applyNumberFormat="1" applyFont="1" applyFill="1" applyBorder="1" applyAlignment="1">
      <alignment horizontal="center" vertical="center"/>
    </xf>
    <xf numFmtId="0" fontId="39" fillId="4" borderId="35" xfId="0" applyFont="1" applyFill="1" applyBorder="1"/>
    <xf numFmtId="0" fontId="39" fillId="4" borderId="36" xfId="0" applyFont="1" applyFill="1" applyBorder="1"/>
    <xf numFmtId="0" fontId="39" fillId="4" borderId="37" xfId="0" applyFont="1" applyFill="1" applyBorder="1" applyAlignment="1">
      <alignment horizontal="center"/>
    </xf>
    <xf numFmtId="0" fontId="39" fillId="12" borderId="38" xfId="0" applyFont="1" applyFill="1" applyBorder="1"/>
    <xf numFmtId="0" fontId="39" fillId="12" borderId="39" xfId="0" applyFont="1" applyFill="1" applyBorder="1"/>
    <xf numFmtId="0" fontId="39" fillId="4" borderId="38" xfId="0" applyFont="1" applyFill="1" applyBorder="1"/>
    <xf numFmtId="0" fontId="39" fillId="4" borderId="39" xfId="0" applyFont="1" applyFill="1" applyBorder="1"/>
    <xf numFmtId="0" fontId="39" fillId="12" borderId="40" xfId="0" applyFont="1" applyFill="1" applyBorder="1"/>
    <xf numFmtId="0" fontId="39" fillId="12" borderId="41" xfId="0" applyFont="1" applyFill="1" applyBorder="1"/>
    <xf numFmtId="0" fontId="40" fillId="0" borderId="14" xfId="0" applyFont="1" applyBorder="1" applyAlignment="1">
      <alignment vertical="center"/>
    </xf>
    <xf numFmtId="0" fontId="11" fillId="2" borderId="0" xfId="0" applyFont="1" applyFill="1" applyBorder="1" applyAlignment="1">
      <alignment horizontal="left" vertical="center"/>
    </xf>
    <xf numFmtId="166" fontId="13" fillId="4" borderId="7" xfId="0" applyNumberFormat="1" applyFont="1" applyFill="1" applyBorder="1" applyAlignment="1">
      <alignment horizontal="center" vertical="center" wrapText="1"/>
    </xf>
    <xf numFmtId="166" fontId="13" fillId="4" borderId="26" xfId="0" applyNumberFormat="1" applyFont="1" applyFill="1" applyBorder="1" applyAlignment="1">
      <alignment horizontal="center" vertical="center" wrapText="1"/>
    </xf>
    <xf numFmtId="166" fontId="13" fillId="4" borderId="5" xfId="0" applyNumberFormat="1" applyFont="1" applyFill="1" applyBorder="1" applyAlignment="1">
      <alignment horizontal="center" vertical="center" wrapText="1"/>
    </xf>
    <xf numFmtId="166" fontId="13" fillId="4" borderId="31" xfId="0" applyNumberFormat="1" applyFont="1" applyFill="1" applyBorder="1" applyAlignment="1">
      <alignment horizontal="center" vertical="center" wrapText="1"/>
    </xf>
    <xf numFmtId="166" fontId="13" fillId="4" borderId="0" xfId="0" applyNumberFormat="1" applyFont="1" applyFill="1" applyBorder="1" applyAlignment="1">
      <alignment horizontal="center" vertical="center" wrapText="1"/>
    </xf>
    <xf numFmtId="166" fontId="13" fillId="4" borderId="32" xfId="0" applyNumberFormat="1" applyFont="1" applyFill="1" applyBorder="1" applyAlignment="1">
      <alignment horizontal="center" vertical="center" wrapText="1"/>
    </xf>
    <xf numFmtId="166" fontId="13" fillId="4" borderId="2" xfId="0" applyNumberFormat="1" applyFont="1" applyFill="1" applyBorder="1" applyAlignment="1">
      <alignment horizontal="center" vertical="center" wrapText="1"/>
    </xf>
    <xf numFmtId="166" fontId="13" fillId="4" borderId="33" xfId="0" applyNumberFormat="1" applyFont="1" applyFill="1" applyBorder="1" applyAlignment="1">
      <alignment horizontal="center" vertical="center" wrapText="1"/>
    </xf>
    <xf numFmtId="166" fontId="13" fillId="4" borderId="34" xfId="0" applyNumberFormat="1" applyFont="1" applyFill="1" applyBorder="1" applyAlignment="1">
      <alignment horizontal="center" vertical="center" wrapText="1"/>
    </xf>
    <xf numFmtId="0" fontId="24" fillId="0" borderId="0" xfId="0" applyFont="1" applyBorder="1" applyAlignment="1">
      <alignment horizontal="center" vertical="center"/>
    </xf>
    <xf numFmtId="0" fontId="40" fillId="0" borderId="10" xfId="0" applyFont="1" applyBorder="1" applyAlignment="1">
      <alignment horizontal="center" vertical="center"/>
    </xf>
    <xf numFmtId="0" fontId="40" fillId="0" borderId="0" xfId="0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14" fillId="9" borderId="18" xfId="0" applyFont="1" applyFill="1" applyBorder="1" applyAlignment="1">
      <alignment vertical="center"/>
    </xf>
    <xf numFmtId="0" fontId="14" fillId="9" borderId="19" xfId="0" applyFont="1" applyFill="1" applyBorder="1" applyAlignment="1">
      <alignment vertical="center"/>
    </xf>
    <xf numFmtId="0" fontId="14" fillId="7" borderId="21" xfId="0" applyFont="1" applyFill="1" applyBorder="1" applyAlignment="1">
      <alignment vertical="center"/>
    </xf>
    <xf numFmtId="0" fontId="14" fillId="7" borderId="0" xfId="0" applyFont="1" applyFill="1" applyBorder="1" applyAlignment="1">
      <alignment vertical="center"/>
    </xf>
    <xf numFmtId="0" fontId="17" fillId="7" borderId="21" xfId="0" applyFont="1" applyFill="1" applyBorder="1"/>
    <xf numFmtId="0" fontId="17" fillId="7" borderId="0" xfId="0" applyFont="1" applyFill="1" applyBorder="1"/>
    <xf numFmtId="0" fontId="37" fillId="7" borderId="0" xfId="0" applyFont="1" applyFill="1" applyBorder="1" applyAlignment="1">
      <alignment horizontal="center" vertical="center" wrapText="1"/>
    </xf>
    <xf numFmtId="0" fontId="34" fillId="7" borderId="0" xfId="0" applyFont="1" applyFill="1" applyBorder="1" applyAlignment="1">
      <alignment horizontal="left" vertical="top"/>
    </xf>
    <xf numFmtId="0" fontId="33" fillId="7" borderId="0" xfId="0" applyFont="1" applyFill="1" applyBorder="1" applyAlignment="1">
      <alignment horizontal="left" vertical="top" wrapText="1"/>
    </xf>
    <xf numFmtId="0" fontId="17" fillId="0" borderId="21" xfId="0" applyFont="1" applyBorder="1"/>
    <xf numFmtId="0" fontId="17" fillId="0" borderId="0" xfId="0" applyFont="1" applyBorder="1"/>
    <xf numFmtId="0" fontId="22" fillId="0" borderId="0" xfId="0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/>
    </xf>
    <xf numFmtId="0" fontId="36" fillId="0" borderId="8" xfId="0" applyFont="1" applyBorder="1" applyAlignment="1">
      <alignment horizontal="left" vertical="center"/>
    </xf>
    <xf numFmtId="0" fontId="31" fillId="9" borderId="13" xfId="0" applyFont="1" applyFill="1" applyBorder="1" applyAlignment="1">
      <alignment horizontal="center" vertical="center"/>
    </xf>
    <xf numFmtId="0" fontId="33" fillId="0" borderId="0" xfId="0" applyFont="1" applyBorder="1" applyAlignment="1">
      <alignment horizontal="right" vertical="top"/>
    </xf>
    <xf numFmtId="0" fontId="24" fillId="0" borderId="9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0" fontId="17" fillId="9" borderId="23" xfId="0" applyFont="1" applyFill="1" applyBorder="1"/>
    <xf numFmtId="0" fontId="17" fillId="9" borderId="24" xfId="0" applyFont="1" applyFill="1" applyBorder="1"/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40" fillId="0" borderId="46" xfId="0" applyFont="1" applyBorder="1" applyAlignment="1">
      <alignment horizontal="center" vertical="center"/>
    </xf>
    <xf numFmtId="44" fontId="0" fillId="3" borderId="1" xfId="1" applyFont="1" applyFill="1" applyBorder="1" applyAlignment="1"/>
    <xf numFmtId="44" fontId="0" fillId="3" borderId="1" xfId="1" applyFont="1" applyFill="1" applyBorder="1" applyAlignment="1">
      <alignment vertical="center"/>
    </xf>
    <xf numFmtId="7" fontId="0" fillId="3" borderId="1" xfId="1" applyNumberFormat="1" applyFont="1" applyFill="1" applyBorder="1" applyAlignment="1">
      <alignment vertical="center"/>
    </xf>
    <xf numFmtId="0" fontId="42" fillId="0" borderId="4" xfId="0" applyFont="1" applyFill="1" applyBorder="1" applyAlignment="1">
      <alignment vertical="center"/>
    </xf>
    <xf numFmtId="0" fontId="42" fillId="0" borderId="7" xfId="0" applyFont="1" applyFill="1" applyBorder="1" applyAlignment="1">
      <alignment vertical="center"/>
    </xf>
    <xf numFmtId="0" fontId="9" fillId="0" borderId="47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15">
    <dxf>
      <font>
        <strike val="0"/>
        <outline val="0"/>
        <shadow val="0"/>
        <u val="none"/>
        <vertAlign val="baseline"/>
        <sz val="24"/>
        <color theme="1"/>
        <name val="Gabriola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4"/>
        <color theme="1"/>
        <name val="Gabriola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4"/>
        <color theme="1"/>
        <name val="Gabriola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24"/>
        <color rgb="FFC00000"/>
        <name val="Gabriola"/>
        <scheme val="none"/>
      </font>
      <numFmt numFmtId="164" formatCode="#,##0.00\ &quot;€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4"/>
        <color theme="1"/>
        <name val="Gabriol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24"/>
        <color rgb="FFCC99FF"/>
        <name val="Gabriola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Gabriol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24"/>
        <color theme="1"/>
        <name val="Gabriol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4"/>
        <color theme="1"/>
        <name val="Gabriola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/>
        <strike val="0"/>
        <outline val="0"/>
        <shadow val="0"/>
        <u val="none"/>
        <vertAlign val="baseline"/>
        <sz val="20"/>
        <color theme="1"/>
        <name val="Gabriola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0"/>
        </patternFill>
      </fill>
    </dxf>
    <dxf>
      <fill>
        <patternFill>
          <bgColor rgb="FFFF6699"/>
        </patternFill>
      </fill>
    </dxf>
  </dxfs>
  <tableStyles count="1" defaultTableStyle="TableStyleMedium2" defaultPivotStyle="PivotStyleLight16">
    <tableStyle name="Style de tableau 1" pivot="0" count="2" xr9:uid="{00000000-0011-0000-FFFF-FFFF00000000}">
      <tableStyleElement type="headerRow" dxfId="14"/>
      <tableStyleElement type="secondRowStripe" dxfId="13"/>
    </tableStyle>
  </tableStyles>
  <colors>
    <mruColors>
      <color rgb="FFFF6699"/>
      <color rgb="FFFF9900"/>
      <color rgb="FFFF0066"/>
      <color rgb="FFFF99CC"/>
      <color rgb="FFCC99FF"/>
      <color rgb="FFFF66CC"/>
      <color rgb="FFCCFFCC"/>
      <color rgb="FF99CCFF"/>
      <color rgb="FFCC0099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Fiche Articles'!A1"/><Relationship Id="rId13" Type="http://schemas.openxmlformats.org/officeDocument/2006/relationships/image" Target="../media/image7.jpeg"/><Relationship Id="rId3" Type="http://schemas.openxmlformats.org/officeDocument/2006/relationships/image" Target="../media/image2.svg"/><Relationship Id="rId7" Type="http://schemas.openxmlformats.org/officeDocument/2006/relationships/image" Target="../media/image4.svg"/><Relationship Id="rId12" Type="http://schemas.openxmlformats.org/officeDocument/2006/relationships/hyperlink" Target="#Stocks!A1"/><Relationship Id="rId2" Type="http://schemas.openxmlformats.org/officeDocument/2006/relationships/image" Target="../media/image1.png"/><Relationship Id="rId1" Type="http://schemas.openxmlformats.org/officeDocument/2006/relationships/hyperlink" Target="#Ech&#233;ancier!A1"/><Relationship Id="rId6" Type="http://schemas.openxmlformats.org/officeDocument/2006/relationships/image" Target="../media/image3.png"/><Relationship Id="rId11" Type="http://schemas.openxmlformats.org/officeDocument/2006/relationships/hyperlink" Target="#Factures!A1"/><Relationship Id="rId5" Type="http://schemas.openxmlformats.org/officeDocument/2006/relationships/hyperlink" Target="#'Fiche Clients'!A1"/><Relationship Id="rId10" Type="http://schemas.openxmlformats.org/officeDocument/2006/relationships/image" Target="../media/image6.svg"/><Relationship Id="rId4" Type="http://schemas.openxmlformats.org/officeDocument/2006/relationships/hyperlink" Target="#'Tableau de Bord'!A1"/><Relationship Id="rId9" Type="http://schemas.openxmlformats.org/officeDocument/2006/relationships/image" Target="../media/image5.png"/><Relationship Id="rId14" Type="http://schemas.openxmlformats.org/officeDocument/2006/relationships/image" Target="../media/image8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image" Target="../media/image15.jpeg"/><Relationship Id="rId1" Type="http://schemas.openxmlformats.org/officeDocument/2006/relationships/image" Target="../media/image7.jpeg"/><Relationship Id="rId4" Type="http://schemas.openxmlformats.org/officeDocument/2006/relationships/image" Target="../media/image16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jpeg"/><Relationship Id="rId3" Type="http://schemas.openxmlformats.org/officeDocument/2006/relationships/hyperlink" Target="#HOME!A1"/><Relationship Id="rId7" Type="http://schemas.openxmlformats.org/officeDocument/2006/relationships/image" Target="../media/image19.jpeg"/><Relationship Id="rId2" Type="http://schemas.openxmlformats.org/officeDocument/2006/relationships/image" Target="../media/image15.jpeg"/><Relationship Id="rId1" Type="http://schemas.openxmlformats.org/officeDocument/2006/relationships/image" Target="../media/image7.jpeg"/><Relationship Id="rId6" Type="http://schemas.openxmlformats.org/officeDocument/2006/relationships/image" Target="../media/image18.png"/><Relationship Id="rId5" Type="http://schemas.openxmlformats.org/officeDocument/2006/relationships/image" Target="../media/image17.jpeg"/><Relationship Id="rId10" Type="http://schemas.openxmlformats.org/officeDocument/2006/relationships/image" Target="../media/image22.jpeg"/><Relationship Id="rId4" Type="http://schemas.openxmlformats.org/officeDocument/2006/relationships/image" Target="../media/image16.jpeg"/><Relationship Id="rId9" Type="http://schemas.openxmlformats.org/officeDocument/2006/relationships/image" Target="../media/image2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image" Target="../media/image15.jpeg"/><Relationship Id="rId1" Type="http://schemas.openxmlformats.org/officeDocument/2006/relationships/image" Target="../media/image7.jpeg"/><Relationship Id="rId4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77153</xdr:colOff>
      <xdr:row>17</xdr:row>
      <xdr:rowOff>95249</xdr:rowOff>
    </xdr:from>
    <xdr:to>
      <xdr:col>11</xdr:col>
      <xdr:colOff>572454</xdr:colOff>
      <xdr:row>20</xdr:row>
      <xdr:rowOff>47625</xdr:rowOff>
    </xdr:to>
    <xdr:pic>
      <xdr:nvPicPr>
        <xdr:cNvPr id="4" name="Graphiqu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864793" y="3303269"/>
          <a:ext cx="495301" cy="478156"/>
        </a:xfrm>
        <a:prstGeom prst="rect">
          <a:avLst/>
        </a:prstGeom>
      </xdr:spPr>
    </xdr:pic>
    <xdr:clientData/>
  </xdr:twoCellAnchor>
  <xdr:twoCellAnchor editAs="oneCell">
    <xdr:from>
      <xdr:col>11</xdr:col>
      <xdr:colOff>77153</xdr:colOff>
      <xdr:row>21</xdr:row>
      <xdr:rowOff>57150</xdr:rowOff>
    </xdr:from>
    <xdr:to>
      <xdr:col>11</xdr:col>
      <xdr:colOff>572454</xdr:colOff>
      <xdr:row>24</xdr:row>
      <xdr:rowOff>9526</xdr:rowOff>
    </xdr:to>
    <xdr:pic>
      <xdr:nvPicPr>
        <xdr:cNvPr id="6" name="Graphique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6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864793" y="3966210"/>
          <a:ext cx="495301" cy="478156"/>
        </a:xfrm>
        <a:prstGeom prst="rect">
          <a:avLst/>
        </a:prstGeom>
      </xdr:spPr>
    </xdr:pic>
    <xdr:clientData/>
  </xdr:twoCellAnchor>
  <xdr:twoCellAnchor editAs="oneCell">
    <xdr:from>
      <xdr:col>7</xdr:col>
      <xdr:colOff>70485</xdr:colOff>
      <xdr:row>17</xdr:row>
      <xdr:rowOff>47625</xdr:rowOff>
    </xdr:from>
    <xdr:to>
      <xdr:col>7</xdr:col>
      <xdr:colOff>565786</xdr:colOff>
      <xdr:row>20</xdr:row>
      <xdr:rowOff>1</xdr:rowOff>
    </xdr:to>
    <xdr:pic>
      <xdr:nvPicPr>
        <xdr:cNvPr id="8" name="Graphique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8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840605" y="3255645"/>
          <a:ext cx="495301" cy="478156"/>
        </a:xfrm>
        <a:prstGeom prst="rect">
          <a:avLst/>
        </a:prstGeom>
      </xdr:spPr>
    </xdr:pic>
    <xdr:clientData/>
  </xdr:twoCellAnchor>
  <xdr:twoCellAnchor editAs="oneCell">
    <xdr:from>
      <xdr:col>2</xdr:col>
      <xdr:colOff>95251</xdr:colOff>
      <xdr:row>17</xdr:row>
      <xdr:rowOff>85725</xdr:rowOff>
    </xdr:from>
    <xdr:to>
      <xdr:col>2</xdr:col>
      <xdr:colOff>590552</xdr:colOff>
      <xdr:row>20</xdr:row>
      <xdr:rowOff>38101</xdr:rowOff>
    </xdr:to>
    <xdr:pic>
      <xdr:nvPicPr>
        <xdr:cNvPr id="10" name="Graphique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A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66801" y="3324225"/>
          <a:ext cx="495301" cy="495301"/>
        </a:xfrm>
        <a:prstGeom prst="rect">
          <a:avLst/>
        </a:prstGeom>
      </xdr:spPr>
    </xdr:pic>
    <xdr:clientData/>
  </xdr:twoCellAnchor>
  <xdr:twoCellAnchor editAs="oneCell">
    <xdr:from>
      <xdr:col>7</xdr:col>
      <xdr:colOff>70485</xdr:colOff>
      <xdr:row>21</xdr:row>
      <xdr:rowOff>95251</xdr:rowOff>
    </xdr:from>
    <xdr:to>
      <xdr:col>7</xdr:col>
      <xdr:colOff>565786</xdr:colOff>
      <xdr:row>24</xdr:row>
      <xdr:rowOff>47627</xdr:rowOff>
    </xdr:to>
    <xdr:pic>
      <xdr:nvPicPr>
        <xdr:cNvPr id="18" name="Graphique 1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2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840605" y="4004311"/>
          <a:ext cx="495301" cy="478156"/>
        </a:xfrm>
        <a:prstGeom prst="rect">
          <a:avLst/>
        </a:prstGeom>
      </xdr:spPr>
    </xdr:pic>
    <xdr:clientData/>
  </xdr:twoCellAnchor>
  <xdr:twoCellAnchor editAs="oneCell">
    <xdr:from>
      <xdr:col>2</xdr:col>
      <xdr:colOff>95251</xdr:colOff>
      <xdr:row>21</xdr:row>
      <xdr:rowOff>104775</xdr:rowOff>
    </xdr:from>
    <xdr:to>
      <xdr:col>2</xdr:col>
      <xdr:colOff>590552</xdr:colOff>
      <xdr:row>24</xdr:row>
      <xdr:rowOff>57151</xdr:rowOff>
    </xdr:to>
    <xdr:pic>
      <xdr:nvPicPr>
        <xdr:cNvPr id="19" name="Graphique 1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3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66801" y="4429125"/>
          <a:ext cx="495301" cy="495301"/>
        </a:xfrm>
        <a:prstGeom prst="rect">
          <a:avLst/>
        </a:prstGeom>
      </xdr:spPr>
    </xdr:pic>
    <xdr:clientData/>
  </xdr:twoCellAnchor>
  <xdr:twoCellAnchor editAs="absolute">
    <xdr:from>
      <xdr:col>2</xdr:col>
      <xdr:colOff>666750</xdr:colOff>
      <xdr:row>0</xdr:row>
      <xdr:rowOff>133350</xdr:rowOff>
    </xdr:from>
    <xdr:to>
      <xdr:col>12</xdr:col>
      <xdr:colOff>679450</xdr:colOff>
      <xdr:row>8</xdr:row>
      <xdr:rowOff>152400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1682750" y="133350"/>
          <a:ext cx="7696200" cy="1530350"/>
          <a:chOff x="1943100" y="133350"/>
          <a:chExt cx="6810375" cy="1543050"/>
        </a:xfrm>
      </xdr:grpSpPr>
      <xdr:pic>
        <xdr:nvPicPr>
          <xdr:cNvPr id="13" name="Image 12" descr="modèle de cadre d&amp;#39;écailles de poisson rose pastel vierge 2970402 -  Telecharger Vectoriel Gratuit, Clipart Graphique, Vecteur Dessins et  Pictogramme Gratuit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43100" y="133350"/>
            <a:ext cx="6810375" cy="1543050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" name="ZoneText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2676524" y="295275"/>
            <a:ext cx="5343525" cy="1219200"/>
          </a:xfrm>
          <a:prstGeom prst="rect">
            <a:avLst/>
          </a:prstGeom>
          <a:solidFill>
            <a:schemeClr val="bg1"/>
          </a:solidFill>
          <a:ln w="9525" cmpd="sng">
            <a:solidFill>
              <a:srgbClr val="FF9900"/>
            </a:solidFill>
          </a:ln>
          <a:scene3d>
            <a:camera prst="orthographicFront"/>
            <a:lightRig rig="threePt" dir="t"/>
          </a:scene3d>
          <a:sp3d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4800" b="1" u="none">
                <a:solidFill>
                  <a:srgbClr val="FFC000"/>
                </a:solidFill>
                <a:latin typeface="Ecolier" panose="020B0500000000000000" pitchFamily="34" charset="2"/>
              </a:rPr>
              <a:t> </a:t>
            </a:r>
            <a:r>
              <a:rPr lang="fr-FR" sz="4800" b="1" u="none" baseline="0">
                <a:solidFill>
                  <a:srgbClr val="FFC000"/>
                </a:solidFill>
                <a:latin typeface="Ecolier" panose="020B0500000000000000" pitchFamily="34" charset="2"/>
              </a:rPr>
              <a:t>  </a:t>
            </a:r>
            <a:r>
              <a:rPr lang="fr-FR" sz="4800" b="1" u="sng">
                <a:solidFill>
                  <a:srgbClr val="FFC000"/>
                </a:solidFill>
                <a:latin typeface="Ecolier" panose="020B0500000000000000" pitchFamily="34" charset="2"/>
              </a:rPr>
              <a:t>SweetyCakes</a:t>
            </a:r>
          </a:p>
        </xdr:txBody>
      </xdr:sp>
      <xdr:pic>
        <xdr:nvPicPr>
          <xdr:cNvPr id="16" name="Image 15" descr="Pâtisserie, dessin cupcake png, tube _ Cupcake clipart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957339" y="323377"/>
            <a:ext cx="714376" cy="1073516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352425</xdr:colOff>
      <xdr:row>12</xdr:row>
      <xdr:rowOff>39688</xdr:rowOff>
    </xdr:from>
    <xdr:to>
      <xdr:col>6</xdr:col>
      <xdr:colOff>28575</xdr:colOff>
      <xdr:row>16</xdr:row>
      <xdr:rowOff>87313</xdr:rowOff>
    </xdr:to>
    <xdr:sp macro="" textlink="">
      <xdr:nvSpPr>
        <xdr:cNvPr id="15" name="Rectangle : coins arrondi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00075" y="2300288"/>
          <a:ext cx="3517900" cy="809625"/>
        </a:xfrm>
        <a:prstGeom prst="roundRect">
          <a:avLst/>
        </a:prstGeom>
        <a:solidFill>
          <a:srgbClr val="CC0099"/>
        </a:solidFill>
        <a:scene3d>
          <a:camera prst="orthographicFront"/>
          <a:lightRig rig="threePt" dir="t"/>
        </a:scene3d>
        <a:sp3d prstMaterial="clear">
          <a:bevelT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 u="sng">
              <a:solidFill>
                <a:srgbClr val="FF9900"/>
              </a:solidFill>
              <a:latin typeface="Ecolier" panose="020B0500000000000000" pitchFamily="34" charset="2"/>
            </a:rPr>
            <a:t>Gestion de la Production</a:t>
          </a:r>
        </a:p>
      </xdr:txBody>
    </xdr:sp>
    <xdr:clientData/>
  </xdr:twoCellAnchor>
  <xdr:twoCellAnchor>
    <xdr:from>
      <xdr:col>10</xdr:col>
      <xdr:colOff>438151</xdr:colOff>
      <xdr:row>12</xdr:row>
      <xdr:rowOff>52388</xdr:rowOff>
    </xdr:from>
    <xdr:to>
      <xdr:col>14</xdr:col>
      <xdr:colOff>323851</xdr:colOff>
      <xdr:row>16</xdr:row>
      <xdr:rowOff>100013</xdr:rowOff>
    </xdr:to>
    <xdr:sp macro="" textlink="">
      <xdr:nvSpPr>
        <xdr:cNvPr id="20" name="Rectangle : coins arrondis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7277101" y="2338388"/>
          <a:ext cx="2819400" cy="809625"/>
        </a:xfrm>
        <a:prstGeom prst="roundRect">
          <a:avLst/>
        </a:prstGeom>
        <a:solidFill>
          <a:srgbClr val="CC0099"/>
        </a:solidFill>
        <a:scene3d>
          <a:camera prst="orthographicFront"/>
          <a:lightRig rig="threePt" dir="t"/>
        </a:scene3d>
        <a:sp3d prstMaterial="clear">
          <a:bevelT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 u="sng">
              <a:solidFill>
                <a:srgbClr val="FF9900"/>
              </a:solidFill>
              <a:latin typeface="Ecolier" panose="020B0500000000000000" pitchFamily="34" charset="2"/>
            </a:rPr>
            <a:t>Analyse</a:t>
          </a:r>
          <a:r>
            <a:rPr lang="fr-FR" sz="2400" b="1" u="sng">
              <a:solidFill>
                <a:srgbClr val="FF9900"/>
              </a:solidFill>
              <a:latin typeface="Ecolier" panose="020B0500000000000000" pitchFamily="34" charset="2"/>
            </a:rPr>
            <a:t> </a:t>
          </a:r>
          <a:r>
            <a:rPr lang="fr-FR" sz="2000" b="1" u="sng">
              <a:solidFill>
                <a:srgbClr val="FF9900"/>
              </a:solidFill>
              <a:latin typeface="Ecolier" panose="020B0500000000000000" pitchFamily="34" charset="2"/>
            </a:rPr>
            <a:t>Financière</a:t>
          </a:r>
        </a:p>
      </xdr:txBody>
    </xdr:sp>
    <xdr:clientData/>
  </xdr:twoCellAnchor>
  <xdr:twoCellAnchor>
    <xdr:from>
      <xdr:col>6</xdr:col>
      <xdr:colOff>295275</xdr:colOff>
      <xdr:row>12</xdr:row>
      <xdr:rowOff>52388</xdr:rowOff>
    </xdr:from>
    <xdr:to>
      <xdr:col>10</xdr:col>
      <xdr:colOff>209550</xdr:colOff>
      <xdr:row>16</xdr:row>
      <xdr:rowOff>100013</xdr:rowOff>
    </xdr:to>
    <xdr:sp macro="" textlink="">
      <xdr:nvSpPr>
        <xdr:cNvPr id="21" name="Rectangle : coins arrondis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4200525" y="2338388"/>
          <a:ext cx="2847975" cy="809625"/>
        </a:xfrm>
        <a:prstGeom prst="roundRect">
          <a:avLst/>
        </a:prstGeom>
        <a:solidFill>
          <a:srgbClr val="CC0099"/>
        </a:solidFill>
        <a:scene3d>
          <a:camera prst="orthographicFront"/>
          <a:lightRig rig="threePt" dir="t"/>
        </a:scene3d>
        <a:sp3d prstMaterial="clear">
          <a:bevelT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 u="sng">
              <a:solidFill>
                <a:srgbClr val="FF9900"/>
              </a:solidFill>
              <a:latin typeface="Ecolier" panose="020B0500000000000000" pitchFamily="34" charset="2"/>
            </a:rPr>
            <a:t>Gestion</a:t>
          </a:r>
          <a:r>
            <a:rPr lang="fr-FR" sz="2400" b="1" u="sng">
              <a:solidFill>
                <a:srgbClr val="FF9900"/>
              </a:solidFill>
              <a:latin typeface="Ecolier" panose="020B0500000000000000" pitchFamily="34" charset="2"/>
            </a:rPr>
            <a:t> </a:t>
          </a:r>
          <a:r>
            <a:rPr lang="fr-FR" sz="2000" b="1" u="sng">
              <a:solidFill>
                <a:srgbClr val="FF9900"/>
              </a:solidFill>
              <a:latin typeface="Ecolier" panose="020B0500000000000000" pitchFamily="34" charset="2"/>
            </a:rPr>
            <a:t>Commerciale</a:t>
          </a:r>
          <a:endParaRPr lang="fr-FR" sz="2400" b="1" u="sng">
            <a:solidFill>
              <a:srgbClr val="FF9900"/>
            </a:solidFill>
            <a:latin typeface="Ecolier" panose="020B0500000000000000" pitchFamily="34" charset="2"/>
          </a:endParaRPr>
        </a:p>
      </xdr:txBody>
    </xdr:sp>
    <xdr:clientData/>
  </xdr:twoCellAnchor>
  <xdr:twoCellAnchor editAs="oneCell">
    <xdr:from>
      <xdr:col>7</xdr:col>
      <xdr:colOff>70485</xdr:colOff>
      <xdr:row>25</xdr:row>
      <xdr:rowOff>144780</xdr:rowOff>
    </xdr:from>
    <xdr:to>
      <xdr:col>7</xdr:col>
      <xdr:colOff>565786</xdr:colOff>
      <xdr:row>27</xdr:row>
      <xdr:rowOff>59056</xdr:rowOff>
    </xdr:to>
    <xdr:pic>
      <xdr:nvPicPr>
        <xdr:cNvPr id="23" name="Graphique 2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7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840605" y="4754880"/>
          <a:ext cx="495301" cy="4781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171450</xdr:rowOff>
    </xdr:from>
    <xdr:to>
      <xdr:col>14</xdr:col>
      <xdr:colOff>42675</xdr:colOff>
      <xdr:row>8</xdr:row>
      <xdr:rowOff>47625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3160939" y="171450"/>
          <a:ext cx="9391236" cy="1763032"/>
          <a:chOff x="771525" y="76200"/>
          <a:chExt cx="7596000" cy="2124000"/>
        </a:xfrm>
      </xdr:grpSpPr>
      <xdr:pic>
        <xdr:nvPicPr>
          <xdr:cNvPr id="3" name="Image 2" descr="modèle de cadre d&amp;#39;écailles de poisson rose pastel vierge 2970402 -  Telecharger Vectoriel Gratuit, Clipart Graphique, Vecteur Dessins et  Pictogramme Gratuit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71525" y="76200"/>
            <a:ext cx="7596000" cy="2124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1581151" y="295275"/>
            <a:ext cx="5943600" cy="1666875"/>
          </a:xfrm>
          <a:prstGeom prst="rect">
            <a:avLst/>
          </a:prstGeom>
          <a:solidFill>
            <a:schemeClr val="bg1"/>
          </a:solidFill>
          <a:ln>
            <a:solidFill>
              <a:srgbClr val="FF99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4800" b="1">
                <a:solidFill>
                  <a:srgbClr val="FF9900"/>
                </a:solidFill>
                <a:latin typeface="Ecolier" panose="020B0500000000000000" pitchFamily="34" charset="2"/>
              </a:rPr>
              <a:t>       </a:t>
            </a:r>
            <a:r>
              <a:rPr lang="fr-FR" sz="4800" b="1" baseline="0">
                <a:solidFill>
                  <a:srgbClr val="FF9900"/>
                </a:solidFill>
                <a:latin typeface="Ecolier" panose="020B0500000000000000" pitchFamily="34" charset="2"/>
              </a:rPr>
              <a:t>            </a:t>
            </a:r>
            <a:r>
              <a:rPr lang="fr-FR" sz="6000" b="1" u="sng" baseline="0">
                <a:solidFill>
                  <a:srgbClr val="99CCFF"/>
                </a:solidFill>
                <a:latin typeface="Ecolier" panose="020B0500000000000000" pitchFamily="34" charset="2"/>
              </a:rPr>
              <a:t>Panier</a:t>
            </a:r>
            <a:endParaRPr lang="fr-FR" sz="4800" b="1" u="sng">
              <a:solidFill>
                <a:srgbClr val="99CCFF"/>
              </a:solidFill>
              <a:latin typeface="Ecolier" panose="020B0500000000000000" pitchFamily="34" charset="2"/>
            </a:endParaRPr>
          </a:p>
        </xdr:txBody>
      </xdr:sp>
      <xdr:pic>
        <xdr:nvPicPr>
          <xdr:cNvPr id="5" name="Image 4" descr="Cupcake : dessin couleur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38325" y="361951"/>
            <a:ext cx="971761" cy="1428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16</xdr:col>
      <xdr:colOff>676275</xdr:colOff>
      <xdr:row>0</xdr:row>
      <xdr:rowOff>0</xdr:rowOff>
    </xdr:from>
    <xdr:to>
      <xdr:col>19</xdr:col>
      <xdr:colOff>9525</xdr:colOff>
      <xdr:row>10</xdr:row>
      <xdr:rowOff>171450</xdr:rowOff>
    </xdr:to>
    <xdr:grpSp>
      <xdr:nvGrpSpPr>
        <xdr:cNvPr id="6" name="Groupe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15471775" y="0"/>
          <a:ext cx="1936750" cy="2539093"/>
          <a:chOff x="11391899" y="0"/>
          <a:chExt cx="1685925" cy="3200400"/>
        </a:xfrm>
      </xdr:grpSpPr>
      <xdr:sp macro="" textlink="">
        <xdr:nvSpPr>
          <xdr:cNvPr id="7" name="Organigramme : Délai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 rot="5400000">
            <a:off x="10634662" y="757237"/>
            <a:ext cx="3200400" cy="1685925"/>
          </a:xfrm>
          <a:prstGeom prst="flowChartDelay">
            <a:avLst/>
          </a:prstGeom>
          <a:solidFill>
            <a:srgbClr val="CC0099"/>
          </a:solidFill>
          <a:ln>
            <a:solidFill>
              <a:srgbClr val="CC00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8" name="Organigramme : Délai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 rot="5400000">
            <a:off x="10725150" y="800100"/>
            <a:ext cx="3028950" cy="1428750"/>
          </a:xfrm>
          <a:prstGeom prst="flowChartDelay">
            <a:avLst/>
          </a:prstGeom>
          <a:solidFill>
            <a:sysClr val="window" lastClr="FFFFFF"/>
          </a:solidFill>
          <a:ln>
            <a:solidFill>
              <a:srgbClr val="CC00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>
            <a:off x="11778421" y="2035501"/>
            <a:ext cx="926975" cy="53678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2400" b="1">
                <a:solidFill>
                  <a:srgbClr val="FF6699"/>
                </a:solidFill>
                <a:latin typeface="Ecolier" panose="020B0500000000000000" pitchFamily="34" charset="2"/>
              </a:rPr>
              <a:t>home</a:t>
            </a:r>
            <a:endParaRPr lang="fr-FR" sz="3600" b="1">
              <a:solidFill>
                <a:srgbClr val="FF6699"/>
              </a:solidFill>
              <a:latin typeface="Ecolier" panose="020B0500000000000000" pitchFamily="34" charset="2"/>
            </a:endParaRPr>
          </a:p>
        </xdr:txBody>
      </xdr:sp>
      <xdr:pic>
        <xdr:nvPicPr>
          <xdr:cNvPr id="10" name="Image 9" descr="56 idées de Cupcakes à peindre | cupcakes, dessin cupcake, dessin de petit  gâteau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763375" y="38100"/>
            <a:ext cx="989806" cy="20478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565150</xdr:colOff>
          <xdr:row>20</xdr:row>
          <xdr:rowOff>107950</xdr:rowOff>
        </xdr:from>
        <xdr:to>
          <xdr:col>9</xdr:col>
          <xdr:colOff>38100</xdr:colOff>
          <xdr:row>22</xdr:row>
          <xdr:rowOff>101600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615950</xdr:colOff>
          <xdr:row>17</xdr:row>
          <xdr:rowOff>139700</xdr:rowOff>
        </xdr:from>
        <xdr:to>
          <xdr:col>8</xdr:col>
          <xdr:colOff>1371600</xdr:colOff>
          <xdr:row>18</xdr:row>
          <xdr:rowOff>336550</xdr:rowOff>
        </xdr:to>
        <xdr:sp macro="" textlink="">
          <xdr:nvSpPr>
            <xdr:cNvPr id="8196" name="CommandButton2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184150</xdr:colOff>
          <xdr:row>17</xdr:row>
          <xdr:rowOff>107950</xdr:rowOff>
        </xdr:from>
        <xdr:to>
          <xdr:col>6</xdr:col>
          <xdr:colOff>869950</xdr:colOff>
          <xdr:row>19</xdr:row>
          <xdr:rowOff>114300</xdr:rowOff>
        </xdr:to>
        <xdr:sp macro="" textlink="">
          <xdr:nvSpPr>
            <xdr:cNvPr id="8204" name="CommandButton3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1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107950</xdr:colOff>
          <xdr:row>18</xdr:row>
          <xdr:rowOff>298450</xdr:rowOff>
        </xdr:from>
        <xdr:to>
          <xdr:col>13</xdr:col>
          <xdr:colOff>292100</xdr:colOff>
          <xdr:row>19</xdr:row>
          <xdr:rowOff>311150</xdr:rowOff>
        </xdr:to>
        <xdr:sp macro="" textlink="">
          <xdr:nvSpPr>
            <xdr:cNvPr id="8205" name="CommandButton4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1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114300</xdr:colOff>
          <xdr:row>17</xdr:row>
          <xdr:rowOff>152400</xdr:rowOff>
        </xdr:from>
        <xdr:to>
          <xdr:col>13</xdr:col>
          <xdr:colOff>228600</xdr:colOff>
          <xdr:row>18</xdr:row>
          <xdr:rowOff>209550</xdr:rowOff>
        </xdr:to>
        <xdr:sp macro="" textlink="">
          <xdr:nvSpPr>
            <xdr:cNvPr id="8208" name="CommandButton5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1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20</xdr:row>
          <xdr:rowOff>25400</xdr:rowOff>
        </xdr:from>
        <xdr:to>
          <xdr:col>13</xdr:col>
          <xdr:colOff>482600</xdr:colOff>
          <xdr:row>22</xdr:row>
          <xdr:rowOff>12700</xdr:rowOff>
        </xdr:to>
        <xdr:sp macro="" textlink="">
          <xdr:nvSpPr>
            <xdr:cNvPr id="8209" name="CommandButton6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1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1113831</xdr:colOff>
      <xdr:row>1</xdr:row>
      <xdr:rowOff>126801</xdr:rowOff>
    </xdr:from>
    <xdr:to>
      <xdr:col>7</xdr:col>
      <xdr:colOff>1467060</xdr:colOff>
      <xdr:row>12</xdr:row>
      <xdr:rowOff>158278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5658050" y="315317"/>
          <a:ext cx="8002994" cy="2105149"/>
          <a:chOff x="771525" y="76200"/>
          <a:chExt cx="7596000" cy="2124000"/>
        </a:xfrm>
      </xdr:grpSpPr>
      <xdr:pic>
        <xdr:nvPicPr>
          <xdr:cNvPr id="3" name="Image 2" descr="modèle de cadre d&amp;#39;écailles de poisson rose pastel vierge 2970402 -  Telecharger Vectoriel Gratuit, Clipart Graphique, Vecteur Dessins et  Pictogramme Gratuit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71525" y="76200"/>
            <a:ext cx="7596000" cy="2124000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1581151" y="295275"/>
            <a:ext cx="5943600" cy="1666875"/>
          </a:xfrm>
          <a:prstGeom prst="rect">
            <a:avLst/>
          </a:prstGeom>
          <a:solidFill>
            <a:schemeClr val="bg1"/>
          </a:solidFill>
          <a:ln>
            <a:solidFill>
              <a:srgbClr val="FF99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4800" b="1">
                <a:solidFill>
                  <a:srgbClr val="FF9900"/>
                </a:solidFill>
                <a:latin typeface="Ecolier" panose="020B0500000000000000" pitchFamily="34" charset="2"/>
              </a:rPr>
              <a:t>       </a:t>
            </a:r>
            <a:r>
              <a:rPr lang="fr-FR" sz="4800" b="1" baseline="0">
                <a:solidFill>
                  <a:srgbClr val="FF9900"/>
                </a:solidFill>
                <a:latin typeface="Ecolier" panose="020B0500000000000000" pitchFamily="34" charset="2"/>
              </a:rPr>
              <a:t>   </a:t>
            </a:r>
            <a:r>
              <a:rPr lang="fr-FR" sz="6000" b="1" u="sng" baseline="0">
                <a:solidFill>
                  <a:srgbClr val="99CCFF"/>
                </a:solidFill>
                <a:latin typeface="Ecolier" panose="020B0500000000000000" pitchFamily="34" charset="2"/>
              </a:rPr>
              <a:t>Base</a:t>
            </a:r>
            <a:r>
              <a:rPr lang="fr-FR" sz="6000" b="1" u="sng">
                <a:solidFill>
                  <a:srgbClr val="99CCFF"/>
                </a:solidFill>
                <a:latin typeface="Ecolier" panose="020B0500000000000000" pitchFamily="34" charset="2"/>
              </a:rPr>
              <a:t> Articles</a:t>
            </a:r>
            <a:endParaRPr lang="fr-FR" sz="4800" b="1" u="sng">
              <a:solidFill>
                <a:srgbClr val="99CCFF"/>
              </a:solidFill>
              <a:latin typeface="Ecolier" panose="020B0500000000000000" pitchFamily="34" charset="2"/>
            </a:endParaRPr>
          </a:p>
        </xdr:txBody>
      </xdr:sp>
      <xdr:pic>
        <xdr:nvPicPr>
          <xdr:cNvPr id="5" name="Image 4" descr="Cupcake : dessin couleur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38325" y="361951"/>
            <a:ext cx="971761" cy="1428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8</xdr:col>
      <xdr:colOff>3030735</xdr:colOff>
      <xdr:row>0</xdr:row>
      <xdr:rowOff>0</xdr:rowOff>
    </xdr:from>
    <xdr:to>
      <xdr:col>8</xdr:col>
      <xdr:colOff>5853906</xdr:colOff>
      <xdr:row>15</xdr:row>
      <xdr:rowOff>43259</xdr:rowOff>
    </xdr:to>
    <xdr:grpSp>
      <xdr:nvGrpSpPr>
        <xdr:cNvPr id="6" name="Groupe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17070188" y="0"/>
          <a:ext cx="2823171" cy="3168650"/>
          <a:chOff x="11391899" y="0"/>
          <a:chExt cx="1685925" cy="3200400"/>
        </a:xfrm>
      </xdr:grpSpPr>
      <xdr:sp macro="" textlink="">
        <xdr:nvSpPr>
          <xdr:cNvPr id="7" name="Organigramme : Délai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 rot="5400000">
            <a:off x="10634662" y="757237"/>
            <a:ext cx="3200400" cy="1685925"/>
          </a:xfrm>
          <a:prstGeom prst="flowChartDelay">
            <a:avLst/>
          </a:prstGeom>
          <a:solidFill>
            <a:srgbClr val="CC0099"/>
          </a:solidFill>
          <a:ln>
            <a:solidFill>
              <a:srgbClr val="CC00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8" name="Organigramme : Délai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 rot="5400000">
            <a:off x="10725150" y="800100"/>
            <a:ext cx="3028950" cy="1428750"/>
          </a:xfrm>
          <a:prstGeom prst="flowChartDelay">
            <a:avLst/>
          </a:prstGeom>
          <a:solidFill>
            <a:sysClr val="window" lastClr="FFFFFF"/>
          </a:solidFill>
          <a:ln>
            <a:solidFill>
              <a:srgbClr val="CC00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 txBox="1"/>
        </xdr:nvSpPr>
        <xdr:spPr>
          <a:xfrm>
            <a:off x="11811000" y="1885949"/>
            <a:ext cx="866775" cy="76200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4000" b="1">
                <a:solidFill>
                  <a:srgbClr val="FF6699"/>
                </a:solidFill>
                <a:latin typeface="Ecolier" panose="020B0500000000000000" pitchFamily="34" charset="2"/>
              </a:rPr>
              <a:t>home</a:t>
            </a:r>
          </a:p>
        </xdr:txBody>
      </xdr:sp>
      <xdr:pic>
        <xdr:nvPicPr>
          <xdr:cNvPr id="10" name="Image 9" descr="56 idées de Cupcakes à peindre | cupcakes, dessin cupcake, dessin de petit  gâteau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763375" y="38100"/>
            <a:ext cx="989806" cy="20478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5</xdr:col>
      <xdr:colOff>363536</xdr:colOff>
      <xdr:row>19</xdr:row>
      <xdr:rowOff>50800</xdr:rowOff>
    </xdr:from>
    <xdr:to>
      <xdr:col>5</xdr:col>
      <xdr:colOff>1443536</xdr:colOff>
      <xdr:row>19</xdr:row>
      <xdr:rowOff>1850800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71218" y="4432300"/>
          <a:ext cx="1080000" cy="18000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363536</xdr:colOff>
      <xdr:row>20</xdr:row>
      <xdr:rowOff>30135</xdr:rowOff>
    </xdr:from>
    <xdr:to>
      <xdr:col>5</xdr:col>
      <xdr:colOff>1443536</xdr:colOff>
      <xdr:row>20</xdr:row>
      <xdr:rowOff>1837062</xdr:rowOff>
    </xdr:to>
    <xdr:pic>
      <xdr:nvPicPr>
        <xdr:cNvPr id="15" name="Image 14" descr="Pink Velvet Cupcakes (buttermilk cake topped with a tangy cream cheese frosting)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2794" r="17152"/>
        <a:stretch/>
      </xdr:blipFill>
      <xdr:spPr bwMode="auto">
        <a:xfrm>
          <a:off x="9871218" y="6299317"/>
          <a:ext cx="1080000" cy="18069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363536</xdr:colOff>
      <xdr:row>21</xdr:row>
      <xdr:rowOff>16397</xdr:rowOff>
    </xdr:from>
    <xdr:to>
      <xdr:col>5</xdr:col>
      <xdr:colOff>1443536</xdr:colOff>
      <xdr:row>21</xdr:row>
      <xdr:rowOff>1818706</xdr:rowOff>
    </xdr:to>
    <xdr:pic>
      <xdr:nvPicPr>
        <xdr:cNvPr id="16" name="Image 15" descr="Cupcake Spéculoos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520" t="16190" r="2824" b="14285"/>
        <a:stretch/>
      </xdr:blipFill>
      <xdr:spPr bwMode="auto">
        <a:xfrm>
          <a:off x="9871218" y="8173261"/>
          <a:ext cx="1080000" cy="18023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378419</xdr:colOff>
      <xdr:row>22</xdr:row>
      <xdr:rowOff>25371</xdr:rowOff>
    </xdr:from>
    <xdr:to>
      <xdr:col>5</xdr:col>
      <xdr:colOff>1458419</xdr:colOff>
      <xdr:row>22</xdr:row>
      <xdr:rowOff>1876654</xdr:rowOff>
    </xdr:to>
    <xdr:pic>
      <xdr:nvPicPr>
        <xdr:cNvPr id="17" name="Image 16" descr="Ceci contient une image de : Turtle Chocolate Cupcakes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0151" r="15233" b="7156"/>
        <a:stretch/>
      </xdr:blipFill>
      <xdr:spPr bwMode="auto">
        <a:xfrm>
          <a:off x="9903419" y="10130801"/>
          <a:ext cx="1080000" cy="18512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363536</xdr:colOff>
      <xdr:row>23</xdr:row>
      <xdr:rowOff>26224</xdr:rowOff>
    </xdr:from>
    <xdr:to>
      <xdr:col>5</xdr:col>
      <xdr:colOff>1443536</xdr:colOff>
      <xdr:row>23</xdr:row>
      <xdr:rowOff>1862699</xdr:rowOff>
    </xdr:to>
    <xdr:pic>
      <xdr:nvPicPr>
        <xdr:cNvPr id="18" name="Image 17" descr="Schokoladig-fruchtige Cupcakes die fantastisch aussehen, lecker frisch schmecken und perfekt als Geschenk geeignet sind. 😘 Aber auch auf jeder Feier, jedem Geburtstag, am Muttertag oder Valentinstag sind die Muffins mit Topping ein Highlight. 😍 #sallyswelt #sallys #sallystortenwelt #einfachbackenmitsally #einfachsally #himbeercupcakes #himbeermuffins #schokocupcakes #schokoladencupcakes #schokoladencupcakesrezept #cupcakes #cupcakesrezepte #muffins #chocolatecupcakes #cupcakesrecipe #recipes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rrowheads="1"/>
        </xdr:cNvPicPr>
      </xdr:nvPicPr>
      <xdr:blipFill rotWithShape="1"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079" r="-988"/>
        <a:stretch/>
      </xdr:blipFill>
      <xdr:spPr bwMode="auto">
        <a:xfrm>
          <a:off x="9871218" y="11958451"/>
          <a:ext cx="1080000" cy="183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363536</xdr:colOff>
      <xdr:row>24</xdr:row>
      <xdr:rowOff>42032</xdr:rowOff>
    </xdr:from>
    <xdr:to>
      <xdr:col>5</xdr:col>
      <xdr:colOff>1443536</xdr:colOff>
      <xdr:row>24</xdr:row>
      <xdr:rowOff>1878508</xdr:rowOff>
    </xdr:to>
    <xdr:pic>
      <xdr:nvPicPr>
        <xdr:cNvPr id="20" name="Image 19" descr="Ceci contient une image de : Caramel Apple Crumble Cupcakes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rrowheads="1"/>
        </xdr:cNvPicPr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5219"/>
        <a:stretch/>
      </xdr:blipFill>
      <xdr:spPr bwMode="auto">
        <a:xfrm>
          <a:off x="9871218" y="13861941"/>
          <a:ext cx="1080000" cy="18364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715282</xdr:colOff>
      <xdr:row>0</xdr:row>
      <xdr:rowOff>117021</xdr:rowOff>
    </xdr:from>
    <xdr:to>
      <xdr:col>14</xdr:col>
      <xdr:colOff>523461</xdr:colOff>
      <xdr:row>11</xdr:row>
      <xdr:rowOff>137583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7501845" y="117021"/>
          <a:ext cx="12246241" cy="2028750"/>
          <a:chOff x="771525" y="76200"/>
          <a:chExt cx="7596000" cy="2124000"/>
        </a:xfrm>
      </xdr:grpSpPr>
      <xdr:pic>
        <xdr:nvPicPr>
          <xdr:cNvPr id="3" name="Image 2" descr="modèle de cadre d&amp;#39;écailles de poisson rose pastel vierge 2970402 -  Telecharger Vectoriel Gratuit, Clipart Graphique, Vecteur Dessins et  Pictogramme Gratuit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71525" y="76200"/>
            <a:ext cx="7596000" cy="2124000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1581151" y="295275"/>
            <a:ext cx="5943600" cy="1666875"/>
          </a:xfrm>
          <a:prstGeom prst="rect">
            <a:avLst/>
          </a:prstGeom>
          <a:solidFill>
            <a:schemeClr val="bg1"/>
          </a:solidFill>
          <a:ln>
            <a:solidFill>
              <a:srgbClr val="FF99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4800" b="1">
                <a:solidFill>
                  <a:srgbClr val="FF9900"/>
                </a:solidFill>
                <a:latin typeface="Ecolier" panose="020B0500000000000000" pitchFamily="34" charset="2"/>
              </a:rPr>
              <a:t>       </a:t>
            </a:r>
            <a:r>
              <a:rPr lang="fr-FR" sz="4800" b="1" baseline="0">
                <a:solidFill>
                  <a:srgbClr val="FF9900"/>
                </a:solidFill>
                <a:latin typeface="Ecolier" panose="020B0500000000000000" pitchFamily="34" charset="2"/>
              </a:rPr>
              <a:t>           </a:t>
            </a:r>
            <a:r>
              <a:rPr lang="fr-FR" sz="6000" b="1" u="sng">
                <a:solidFill>
                  <a:srgbClr val="99CCFF"/>
                </a:solidFill>
                <a:latin typeface="Ecolier" panose="020B0500000000000000" pitchFamily="34" charset="2"/>
              </a:rPr>
              <a:t>Fiche Clients</a:t>
            </a:r>
            <a:endParaRPr lang="fr-FR" sz="4800" b="1" u="sng">
              <a:solidFill>
                <a:srgbClr val="99CCFF"/>
              </a:solidFill>
              <a:latin typeface="Ecolier" panose="020B0500000000000000" pitchFamily="34" charset="2"/>
            </a:endParaRPr>
          </a:p>
        </xdr:txBody>
      </xdr:sp>
      <xdr:pic>
        <xdr:nvPicPr>
          <xdr:cNvPr id="5" name="Image 4" descr="Cupcake : dessin couleur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69018" y="427813"/>
            <a:ext cx="971761" cy="1428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16</xdr:col>
      <xdr:colOff>15874</xdr:colOff>
      <xdr:row>0</xdr:row>
      <xdr:rowOff>0</xdr:rowOff>
    </xdr:from>
    <xdr:to>
      <xdr:col>18</xdr:col>
      <xdr:colOff>177799</xdr:colOff>
      <xdr:row>16</xdr:row>
      <xdr:rowOff>152400</xdr:rowOff>
    </xdr:to>
    <xdr:grpSp>
      <xdr:nvGrpSpPr>
        <xdr:cNvPr id="11" name="Grou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28535312" y="0"/>
          <a:ext cx="1765300" cy="3089275"/>
          <a:chOff x="11391899" y="0"/>
          <a:chExt cx="1685925" cy="3200400"/>
        </a:xfrm>
      </xdr:grpSpPr>
      <xdr:sp macro="" textlink="">
        <xdr:nvSpPr>
          <xdr:cNvPr id="12" name="Organigramme : Délai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 rot="5400000">
            <a:off x="10634662" y="757237"/>
            <a:ext cx="3200400" cy="1685925"/>
          </a:xfrm>
          <a:prstGeom prst="flowChartDelay">
            <a:avLst/>
          </a:prstGeom>
          <a:solidFill>
            <a:srgbClr val="CC0099"/>
          </a:solidFill>
          <a:ln>
            <a:solidFill>
              <a:srgbClr val="CC00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3" name="Organigramme : Délai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 rot="5400000">
            <a:off x="10725150" y="800100"/>
            <a:ext cx="3028950" cy="1428750"/>
          </a:xfrm>
          <a:prstGeom prst="flowChartDelay">
            <a:avLst/>
          </a:prstGeom>
          <a:solidFill>
            <a:sysClr val="window" lastClr="FFFFFF"/>
          </a:solidFill>
          <a:ln>
            <a:solidFill>
              <a:srgbClr val="CC00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 txBox="1"/>
        </xdr:nvSpPr>
        <xdr:spPr>
          <a:xfrm>
            <a:off x="11811000" y="1885949"/>
            <a:ext cx="866775" cy="76200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4000" b="1">
                <a:solidFill>
                  <a:srgbClr val="FF6699"/>
                </a:solidFill>
                <a:latin typeface="Ecolier" panose="020B0500000000000000" pitchFamily="34" charset="2"/>
              </a:rPr>
              <a:t>home</a:t>
            </a:r>
          </a:p>
        </xdr:txBody>
      </xdr:sp>
      <xdr:pic>
        <xdr:nvPicPr>
          <xdr:cNvPr id="15" name="Image 14" descr="56 idées de Cupcakes à peindre | cupcakes, dessin cupcake, dessin de petit  gâteau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763375" y="38100"/>
            <a:ext cx="989806" cy="20478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515621</xdr:colOff>
      <xdr:row>17</xdr:row>
      <xdr:rowOff>82514</xdr:rowOff>
    </xdr:from>
    <xdr:to>
      <xdr:col>7</xdr:col>
      <xdr:colOff>1551941</xdr:colOff>
      <xdr:row>23</xdr:row>
      <xdr:rowOff>134883</xdr:rowOff>
    </xdr:to>
    <xdr:pic>
      <xdr:nvPicPr>
        <xdr:cNvPr id="2" name="Image 1" descr="Poster « Cupcake heureux », par pai-thagoras | Redbubbl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800" t="20500" r="18545" b="19632"/>
        <a:stretch/>
      </xdr:blipFill>
      <xdr:spPr bwMode="auto">
        <a:xfrm>
          <a:off x="6160771" y="3848064"/>
          <a:ext cx="1036320" cy="11636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B19:I25" totalsRowShown="0" headerRowDxfId="12" dataDxfId="10" headerRowBorderDxfId="11" tableBorderDxfId="9" totalsRowBorderDxfId="8">
  <tableColumns count="8">
    <tableColumn id="1" xr3:uid="{00000000-0010-0000-0000-000001000000}" name="Numéro" dataDxfId="7"/>
    <tableColumn id="10" xr3:uid="{00000000-0010-0000-0000-00000A000000}" name="Référence" dataDxfId="6">
      <calculatedColumnFormula>CONCATENATE("Cup","00",Tableau1[[#This Row],[Numéro]])</calculatedColumnFormula>
    </tableColumn>
    <tableColumn id="2" xr3:uid="{00000000-0010-0000-0000-000002000000}" name="Nom " dataDxfId="5"/>
    <tableColumn id="5" xr3:uid="{00000000-0010-0000-0000-000005000000}" name="Adresse image " dataDxfId="4">
      <calculatedColumnFormula>"Fiche Articles"&amp;ADDRESS(ROW(F20),COLUMN(F20))</calculatedColumnFormula>
    </tableColumn>
    <tableColumn id="4" xr3:uid="{00000000-0010-0000-0000-000004000000}" name="Image " dataDxfId="0"/>
    <tableColumn id="6" xr3:uid="{00000000-0010-0000-0000-000006000000}" name="Prix ht" dataDxfId="3"/>
    <tableColumn id="7" xr3:uid="{00000000-0010-0000-0000-000007000000}" name="Stock" dataDxfId="2"/>
    <tableColumn id="11" xr3:uid="{0350DEFF-B326-4E10-A5A3-45B5A9A5591D}" name="Fiche" dataDxfId="1"/>
  </tableColumns>
  <tableStyleInfo name="Style de tableau 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mbre supérieure">
      <a:fillStyleLst>
        <a:solidFill>
          <a:schemeClr val="phClr"/>
        </a:solidFill>
        <a:gradFill rotWithShape="1">
          <a:gsLst>
            <a:gs pos="0">
              <a:schemeClr val="phClr">
                <a:tint val="10000"/>
                <a:satMod val="300000"/>
              </a:schemeClr>
            </a:gs>
            <a:gs pos="34000">
              <a:schemeClr val="phClr">
                <a:tint val="13500"/>
                <a:satMod val="250000"/>
              </a:schemeClr>
            </a:gs>
            <a:gs pos="100000">
              <a:schemeClr val="phClr">
                <a:tint val="60000"/>
                <a:satMod val="200000"/>
              </a:schemeClr>
            </a:gs>
          </a:gsLst>
          <a:path path="circle">
            <a:fillToRect l="50000" t="155000" r="50000" b="-55000"/>
          </a:path>
        </a:gradFill>
        <a:gradFill rotWithShape="1">
          <a:gsLst>
            <a:gs pos="0">
              <a:schemeClr val="phClr">
                <a:tint val="60000"/>
                <a:satMod val="160000"/>
              </a:schemeClr>
            </a:gs>
            <a:gs pos="46000">
              <a:schemeClr val="phClr">
                <a:tint val="86000"/>
                <a:satMod val="160000"/>
              </a:schemeClr>
            </a:gs>
            <a:gs pos="100000">
              <a:schemeClr val="phClr">
                <a:shade val="40000"/>
                <a:satMod val="160000"/>
              </a:schemeClr>
            </a:gs>
          </a:gsLst>
          <a:path path="circle">
            <a:fillToRect l="50000" t="155000" r="50000" b="-55000"/>
          </a:path>
        </a:gradFill>
      </a:fillStyleLst>
      <a:lnStyleLst>
        <a:ln w="9525" cap="flat" cmpd="sng" algn="ctr">
          <a:solidFill>
            <a:schemeClr val="phClr">
              <a:satMod val="120000"/>
            </a:schemeClr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14700000" algn="t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50800" dist="38100" dir="14700000" algn="t" rotWithShape="0">
              <a:srgbClr val="000000">
                <a:alpha val="60000"/>
              </a:srgbClr>
            </a:outerShdw>
          </a:effectLst>
        </a:effectStyle>
        <a:effectStyle>
          <a:effectLst>
            <a:outerShdw blurRad="53975" dist="41275" dir="14700000" algn="t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3600000"/>
            </a:lightRig>
          </a:scene3d>
          <a:sp3d prstMaterial="plastic">
            <a:bevelT w="127000" h="38200" prst="relaxedIns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10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1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tabColor rgb="FFCCFFCC"/>
  </sheetPr>
  <dimension ref="B2:S29"/>
  <sheetViews>
    <sheetView topLeftCell="A7" workbookViewId="0"/>
  </sheetViews>
  <sheetFormatPr defaultColWidth="11.453125" defaultRowHeight="14.5"/>
  <cols>
    <col min="1" max="1" width="3.54296875" style="1" customWidth="1"/>
    <col min="2" max="17" width="11" style="1" customWidth="1"/>
    <col min="18" max="16384" width="11.453125" style="1"/>
  </cols>
  <sheetData>
    <row r="2" spans="2:19" ht="15" customHeight="1"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2:19" ht="15" customHeight="1"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Q3" s="14"/>
      <c r="R3" s="14"/>
      <c r="S3" s="14"/>
    </row>
    <row r="4" spans="2:19" ht="15" customHeight="1"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Q4" s="14"/>
      <c r="R4" s="14"/>
      <c r="S4" s="14"/>
    </row>
    <row r="5" spans="2:19" ht="15" customHeight="1"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Q5" s="14"/>
      <c r="R5" s="14"/>
      <c r="S5" s="14"/>
    </row>
    <row r="6" spans="2:19" ht="15" customHeight="1"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Q6" s="14"/>
      <c r="R6" s="14"/>
      <c r="S6" s="14"/>
    </row>
    <row r="7" spans="2:19" ht="15" customHeight="1"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</row>
    <row r="10" spans="2:19"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</row>
    <row r="11" spans="2:19" ht="15" customHeight="1">
      <c r="B11" s="18"/>
      <c r="C11" s="19"/>
      <c r="D11" s="19"/>
      <c r="E11" s="19"/>
      <c r="F11" s="19"/>
      <c r="G11" s="18"/>
      <c r="H11" s="19"/>
      <c r="I11" s="19"/>
      <c r="J11" s="19"/>
      <c r="K11" s="18"/>
      <c r="L11" s="19"/>
      <c r="M11" s="19"/>
      <c r="N11" s="19"/>
      <c r="O11" s="18"/>
      <c r="P11" s="20"/>
    </row>
    <row r="12" spans="2:19" ht="15" customHeight="1">
      <c r="B12" s="18"/>
      <c r="C12" s="19"/>
      <c r="D12" s="19"/>
      <c r="E12" s="19"/>
      <c r="F12" s="19"/>
      <c r="G12" s="18"/>
      <c r="H12" s="19"/>
      <c r="I12" s="19"/>
      <c r="J12" s="19"/>
      <c r="K12" s="18"/>
      <c r="L12" s="19"/>
      <c r="M12" s="19"/>
      <c r="N12" s="19"/>
      <c r="O12" s="18"/>
      <c r="P12" s="20"/>
    </row>
    <row r="13" spans="2:19" ht="15" customHeight="1">
      <c r="B13" s="18"/>
      <c r="C13" s="19"/>
      <c r="D13" s="19"/>
      <c r="E13" s="19"/>
      <c r="F13" s="19"/>
      <c r="G13" s="18"/>
      <c r="H13" s="19"/>
      <c r="I13" s="19"/>
      <c r="J13" s="19"/>
      <c r="K13" s="18"/>
      <c r="L13" s="19"/>
      <c r="M13" s="19"/>
      <c r="N13" s="19"/>
      <c r="O13" s="18"/>
      <c r="P13" s="20"/>
    </row>
    <row r="14" spans="2:19" ht="15" customHeight="1">
      <c r="B14" s="18"/>
      <c r="C14" s="19"/>
      <c r="D14" s="19"/>
      <c r="E14" s="19"/>
      <c r="F14" s="19"/>
      <c r="G14" s="21"/>
      <c r="H14" s="19"/>
      <c r="I14" s="19"/>
      <c r="J14" s="19"/>
      <c r="K14" s="21"/>
      <c r="L14" s="19"/>
      <c r="M14" s="19"/>
      <c r="N14" s="19"/>
      <c r="O14" s="18"/>
      <c r="P14" s="20"/>
    </row>
    <row r="15" spans="2:19" ht="15" customHeight="1">
      <c r="B15" s="18"/>
      <c r="C15" s="19"/>
      <c r="D15" s="19"/>
      <c r="E15" s="19"/>
      <c r="F15" s="19"/>
      <c r="G15" s="21"/>
      <c r="H15" s="19"/>
      <c r="I15" s="19"/>
      <c r="J15" s="19"/>
      <c r="K15" s="21"/>
      <c r="L15" s="19"/>
      <c r="M15" s="19"/>
      <c r="N15" s="19"/>
      <c r="O15" s="18"/>
      <c r="P15" s="20"/>
    </row>
    <row r="16" spans="2:19" ht="15" customHeight="1">
      <c r="B16" s="18"/>
      <c r="C16" s="19"/>
      <c r="D16" s="19"/>
      <c r="E16" s="19"/>
      <c r="F16" s="19"/>
      <c r="G16" s="21"/>
      <c r="H16" s="19"/>
      <c r="I16" s="19"/>
      <c r="J16" s="19"/>
      <c r="K16" s="21"/>
      <c r="L16" s="19"/>
      <c r="M16" s="19"/>
      <c r="N16" s="19"/>
      <c r="O16" s="18"/>
      <c r="P16" s="20"/>
    </row>
    <row r="17" spans="2:16" ht="15" customHeight="1">
      <c r="B17" s="18"/>
      <c r="C17" s="19"/>
      <c r="D17" s="19"/>
      <c r="E17" s="19"/>
      <c r="F17" s="19"/>
      <c r="G17" s="21"/>
      <c r="H17" s="19"/>
      <c r="I17" s="19"/>
      <c r="J17" s="19"/>
      <c r="K17" s="21"/>
      <c r="L17" s="19"/>
      <c r="M17" s="19"/>
      <c r="N17" s="19"/>
      <c r="O17" s="18"/>
      <c r="P17" s="20"/>
    </row>
    <row r="18" spans="2:16" ht="14.25" customHeight="1"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20"/>
    </row>
    <row r="19" spans="2:16" ht="14.25" customHeight="1">
      <c r="B19" s="18"/>
      <c r="C19" s="18"/>
      <c r="D19" s="111" t="s">
        <v>1</v>
      </c>
      <c r="E19" s="111"/>
      <c r="F19" s="18"/>
      <c r="G19" s="18"/>
      <c r="H19" s="18"/>
      <c r="I19" s="111" t="s">
        <v>2</v>
      </c>
      <c r="J19" s="111"/>
      <c r="K19" s="18"/>
      <c r="L19" s="18"/>
      <c r="M19" s="111" t="s">
        <v>3</v>
      </c>
      <c r="N19" s="111"/>
      <c r="O19" s="18"/>
      <c r="P19" s="20"/>
    </row>
    <row r="20" spans="2:16" ht="14.25" customHeight="1">
      <c r="B20" s="18"/>
      <c r="C20" s="18"/>
      <c r="D20" s="111"/>
      <c r="E20" s="111"/>
      <c r="F20" s="18"/>
      <c r="G20" s="18"/>
      <c r="H20" s="18"/>
      <c r="I20" s="111"/>
      <c r="J20" s="111"/>
      <c r="K20" s="18"/>
      <c r="L20" s="18"/>
      <c r="M20" s="111"/>
      <c r="N20" s="111"/>
      <c r="O20" s="18"/>
      <c r="P20" s="20"/>
    </row>
    <row r="21" spans="2:16" ht="14.25" customHeight="1">
      <c r="B21" s="18"/>
      <c r="C21" s="18"/>
      <c r="D21" s="21"/>
      <c r="E21" s="21"/>
      <c r="F21" s="18"/>
      <c r="G21" s="18"/>
      <c r="H21" s="18"/>
      <c r="I21" s="80"/>
      <c r="J21" s="80"/>
      <c r="K21" s="18"/>
      <c r="L21" s="18"/>
      <c r="M21" s="80"/>
      <c r="N21" s="80"/>
      <c r="O21" s="18"/>
      <c r="P21" s="20"/>
    </row>
    <row r="22" spans="2:16" ht="14.25" customHeight="1">
      <c r="B22" s="18"/>
      <c r="C22" s="18"/>
      <c r="D22" s="21"/>
      <c r="E22" s="21"/>
      <c r="F22" s="18"/>
      <c r="G22" s="18"/>
      <c r="H22" s="18"/>
      <c r="I22" s="80"/>
      <c r="J22" s="80"/>
      <c r="K22" s="18"/>
      <c r="L22" s="18"/>
      <c r="M22" s="18"/>
      <c r="N22" s="18"/>
      <c r="O22" s="18"/>
      <c r="P22" s="20"/>
    </row>
    <row r="23" spans="2:16" ht="14.25" customHeight="1">
      <c r="B23" s="18"/>
      <c r="C23" s="18"/>
      <c r="D23" s="111" t="s">
        <v>0</v>
      </c>
      <c r="E23" s="111"/>
      <c r="F23" s="18"/>
      <c r="G23" s="18"/>
      <c r="H23" s="18"/>
      <c r="I23" s="111" t="s">
        <v>148</v>
      </c>
      <c r="J23" s="111"/>
      <c r="K23" s="18"/>
      <c r="L23" s="18"/>
      <c r="M23" s="111" t="s">
        <v>4</v>
      </c>
      <c r="N23" s="111"/>
      <c r="O23" s="18"/>
      <c r="P23" s="20"/>
    </row>
    <row r="24" spans="2:16" ht="14.25" customHeight="1">
      <c r="B24" s="18"/>
      <c r="C24" s="18"/>
      <c r="D24" s="111"/>
      <c r="E24" s="111"/>
      <c r="F24" s="18"/>
      <c r="G24" s="18"/>
      <c r="H24" s="18"/>
      <c r="I24" s="111"/>
      <c r="J24" s="111"/>
      <c r="K24" s="18"/>
      <c r="L24" s="18"/>
      <c r="M24" s="111"/>
      <c r="N24" s="111"/>
      <c r="O24" s="18"/>
      <c r="P24" s="20"/>
    </row>
    <row r="25" spans="2:16" ht="14.25" customHeight="1"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20"/>
    </row>
    <row r="26" spans="2:16" ht="22.5"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20"/>
    </row>
    <row r="27" spans="2:16" ht="22.25" customHeight="1">
      <c r="B27" s="20"/>
      <c r="C27" s="20"/>
      <c r="D27" s="20"/>
      <c r="E27" s="20"/>
      <c r="F27" s="20"/>
      <c r="G27" s="20"/>
      <c r="H27" s="20"/>
      <c r="I27" s="79" t="s">
        <v>149</v>
      </c>
      <c r="J27" s="79"/>
      <c r="K27" s="20"/>
      <c r="L27" s="20"/>
      <c r="M27" s="20"/>
      <c r="N27" s="20"/>
      <c r="O27" s="20"/>
      <c r="P27" s="20"/>
    </row>
    <row r="28" spans="2:16" ht="22.25" customHeight="1">
      <c r="B28" s="20"/>
      <c r="C28" s="20"/>
      <c r="D28" s="20"/>
      <c r="E28" s="20"/>
      <c r="F28" s="20"/>
      <c r="G28" s="20"/>
      <c r="H28" s="20"/>
      <c r="I28" s="79"/>
      <c r="J28" s="79"/>
      <c r="K28" s="20"/>
      <c r="L28" s="20"/>
      <c r="M28" s="20"/>
      <c r="N28" s="20"/>
      <c r="O28" s="20"/>
      <c r="P28" s="20"/>
    </row>
    <row r="29" spans="2:16" ht="22.5"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</sheetData>
  <mergeCells count="6">
    <mergeCell ref="D23:E24"/>
    <mergeCell ref="D19:E20"/>
    <mergeCell ref="M23:N24"/>
    <mergeCell ref="M19:N20"/>
    <mergeCell ref="I23:J24"/>
    <mergeCell ref="I19:J20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">
    <tabColor rgb="FFCC99FF"/>
  </sheetPr>
  <dimension ref="B10:Q25"/>
  <sheetViews>
    <sheetView showGridLines="0" showZeros="0" tabSelected="1" topLeftCell="A9" zoomScale="70" zoomScaleNormal="70" workbookViewId="0">
      <selection activeCell="L12" sqref="L12"/>
    </sheetView>
  </sheetViews>
  <sheetFormatPr defaultColWidth="11.453125" defaultRowHeight="18.5"/>
  <cols>
    <col min="1" max="1" width="3.36328125" style="84" customWidth="1"/>
    <col min="2" max="2" width="16.81640625" style="84" customWidth="1"/>
    <col min="3" max="3" width="19.1796875" style="84" bestFit="1" customWidth="1"/>
    <col min="4" max="4" width="5.81640625" style="84" customWidth="1"/>
    <col min="5" max="7" width="16.81640625" style="84" customWidth="1"/>
    <col min="8" max="8" width="11.453125" style="84"/>
    <col min="9" max="9" width="20.453125" style="84" bestFit="1" customWidth="1"/>
    <col min="10" max="10" width="4.36328125" style="96" customWidth="1"/>
    <col min="11" max="11" width="4.36328125" style="84" customWidth="1"/>
    <col min="12" max="12" width="15.08984375" style="84" bestFit="1" customWidth="1"/>
    <col min="13" max="13" width="13.81640625" style="84" bestFit="1" customWidth="1"/>
    <col min="14" max="14" width="13.54296875" style="84" bestFit="1" customWidth="1"/>
    <col min="15" max="15" width="19.36328125" style="84" bestFit="1" customWidth="1"/>
    <col min="16" max="16" width="13.36328125" style="84" bestFit="1" customWidth="1"/>
    <col min="17" max="17" width="14.36328125" style="84" bestFit="1" customWidth="1"/>
    <col min="18" max="16384" width="11.453125" style="84"/>
  </cols>
  <sheetData>
    <row r="10" spans="2:17" ht="19" thickBot="1"/>
    <row r="11" spans="2:17" ht="29" thickBot="1">
      <c r="B11" s="90" t="s">
        <v>128</v>
      </c>
      <c r="C11" s="88">
        <v>44654</v>
      </c>
      <c r="E11" s="91" t="s">
        <v>152</v>
      </c>
      <c r="F11" s="112" t="str">
        <f>IFERROR(INDEX('Fiche Clients'!O18:O37,MATCH(Panier!C13,'Fiche Clients'!B18:B37,0)),"")</f>
        <v>CISSEE MAMADA
7 AVENUE ANTONIO AUGUSTIN 
6000 NICE 
 France
cissee.mamada@gmail.com
0683503090</v>
      </c>
      <c r="G11" s="113"/>
      <c r="H11" s="113"/>
      <c r="I11" s="114"/>
      <c r="L11" s="92" t="s">
        <v>154</v>
      </c>
      <c r="M11" s="93" t="s">
        <v>150</v>
      </c>
      <c r="N11" s="93" t="s">
        <v>129</v>
      </c>
      <c r="O11" s="94" t="s">
        <v>130</v>
      </c>
      <c r="P11" s="93" t="s">
        <v>132</v>
      </c>
      <c r="Q11" s="95" t="s">
        <v>131</v>
      </c>
    </row>
    <row r="12" spans="2:17" ht="37.5" thickBot="1">
      <c r="F12" s="115"/>
      <c r="G12" s="116"/>
      <c r="H12" s="116"/>
      <c r="I12" s="117"/>
      <c r="L12" s="101">
        <v>1</v>
      </c>
      <c r="M12" s="102">
        <v>14</v>
      </c>
      <c r="N12" s="102">
        <v>5</v>
      </c>
      <c r="O12" s="102" t="s">
        <v>13</v>
      </c>
      <c r="P12" s="102">
        <v>150</v>
      </c>
      <c r="Q12" s="103">
        <f t="shared" ref="Q12:Q17" si="0">P12*C$16</f>
        <v>435</v>
      </c>
    </row>
    <row r="13" spans="2:17" ht="37.5" thickBot="1">
      <c r="B13" s="90" t="s">
        <v>150</v>
      </c>
      <c r="C13" s="98">
        <v>14</v>
      </c>
      <c r="F13" s="115"/>
      <c r="G13" s="116"/>
      <c r="H13" s="116"/>
      <c r="I13" s="117"/>
      <c r="L13" s="104"/>
      <c r="M13" s="105"/>
      <c r="N13" s="105">
        <v>2</v>
      </c>
      <c r="O13" s="105" t="s">
        <v>9</v>
      </c>
      <c r="P13" s="105">
        <v>150</v>
      </c>
      <c r="Q13" s="103">
        <f t="shared" si="0"/>
        <v>435</v>
      </c>
    </row>
    <row r="14" spans="2:17" ht="37.5" thickBot="1">
      <c r="B14" s="90" t="s">
        <v>129</v>
      </c>
      <c r="C14" s="98">
        <v>2</v>
      </c>
      <c r="F14" s="115"/>
      <c r="G14" s="116"/>
      <c r="H14" s="116"/>
      <c r="I14" s="117"/>
      <c r="L14" s="106"/>
      <c r="M14" s="107"/>
      <c r="N14" s="107"/>
      <c r="O14" s="107"/>
      <c r="P14" s="107"/>
      <c r="Q14" s="103">
        <f t="shared" si="0"/>
        <v>0</v>
      </c>
    </row>
    <row r="15" spans="2:17" ht="37.5" thickBot="1">
      <c r="B15" s="90" t="s">
        <v>133</v>
      </c>
      <c r="C15" s="87" t="str">
        <f>IFERROR(INDEX(Tableau1[[Nom ]],MATCH(Panier!C14,Tableau1[Numéro],0)),"")</f>
        <v>Cup'FlowerBerry</v>
      </c>
      <c r="F15" s="115"/>
      <c r="G15" s="116"/>
      <c r="H15" s="116"/>
      <c r="I15" s="117"/>
      <c r="L15" s="104"/>
      <c r="M15" s="105"/>
      <c r="N15" s="105"/>
      <c r="O15" s="105"/>
      <c r="P15" s="105"/>
      <c r="Q15" s="103">
        <f t="shared" si="0"/>
        <v>0</v>
      </c>
    </row>
    <row r="16" spans="2:17" ht="37.5" thickBot="1">
      <c r="B16" s="90" t="s">
        <v>131</v>
      </c>
      <c r="C16" s="87">
        <f>IFERROR(INDEX(Tableau1[Prix ht],MATCH(Panier!C14,Tableau1[Numéro],0)),"")</f>
        <v>2.9</v>
      </c>
      <c r="F16" s="115"/>
      <c r="G16" s="116"/>
      <c r="H16" s="116"/>
      <c r="I16" s="117"/>
      <c r="L16" s="106"/>
      <c r="M16" s="107"/>
      <c r="N16" s="107"/>
      <c r="O16" s="107"/>
      <c r="P16" s="107"/>
      <c r="Q16" s="103">
        <f t="shared" si="0"/>
        <v>0</v>
      </c>
    </row>
    <row r="17" spans="2:17" ht="37.5" thickBot="1">
      <c r="B17" s="90" t="s">
        <v>134</v>
      </c>
      <c r="C17" s="87">
        <f>IFERROR(INDEX(Tableau1[Stock],MATCH(Panier!C14,Tableau1[Numéro],0)),"")</f>
        <v>0</v>
      </c>
      <c r="F17" s="118"/>
      <c r="G17" s="119"/>
      <c r="H17" s="119"/>
      <c r="I17" s="120"/>
      <c r="L17" s="108"/>
      <c r="M17" s="109"/>
      <c r="N17" s="109"/>
      <c r="O17" s="109"/>
      <c r="P17" s="109"/>
      <c r="Q17" s="103">
        <f t="shared" si="0"/>
        <v>0</v>
      </c>
    </row>
    <row r="18" spans="2:17" ht="28.5">
      <c r="B18" s="90" t="s">
        <v>132</v>
      </c>
      <c r="C18" s="98">
        <v>150</v>
      </c>
    </row>
    <row r="19" spans="2:17" ht="28.5">
      <c r="B19" s="90" t="s">
        <v>151</v>
      </c>
      <c r="C19" s="89"/>
      <c r="L19" s="90" t="s">
        <v>153</v>
      </c>
      <c r="M19" s="97"/>
      <c r="N19" s="85"/>
      <c r="O19" s="85"/>
      <c r="P19" s="85"/>
      <c r="Q19" s="86">
        <f>C$16 * P19</f>
        <v>0</v>
      </c>
    </row>
    <row r="20" spans="2:17" ht="28.5">
      <c r="B20" s="90" t="s">
        <v>154</v>
      </c>
      <c r="C20" s="98">
        <v>1</v>
      </c>
      <c r="L20" s="85"/>
      <c r="M20" s="97"/>
      <c r="N20" s="85"/>
      <c r="O20" s="85"/>
      <c r="P20" s="85"/>
      <c r="Q20" s="86">
        <f>C$16 * P20</f>
        <v>0</v>
      </c>
    </row>
    <row r="21" spans="2:17">
      <c r="L21" s="85"/>
      <c r="M21" s="97"/>
      <c r="N21" s="85"/>
      <c r="O21" s="85"/>
      <c r="P21" s="85"/>
      <c r="Q21" s="86">
        <f>C$16 * P21</f>
        <v>0</v>
      </c>
    </row>
    <row r="22" spans="2:17">
      <c r="L22" s="85"/>
      <c r="M22" s="85"/>
      <c r="N22" s="85"/>
      <c r="O22" s="85"/>
      <c r="P22" s="85"/>
      <c r="Q22" s="86">
        <f>C$16 * P22</f>
        <v>0</v>
      </c>
    </row>
    <row r="23" spans="2:17">
      <c r="N23" s="86"/>
      <c r="O23" s="86"/>
      <c r="P23" s="86"/>
      <c r="Q23" s="86">
        <f>C$16 * P23</f>
        <v>0</v>
      </c>
    </row>
    <row r="24" spans="2:17">
      <c r="I24" s="84" t="str">
        <f>INDEX('Base Articles'!$E$20:$E$25,MATCH(Panier!$C$14,'Base Articles'!$B$20:$B$25,0))</f>
        <v>Fiche Articles$F$21</v>
      </c>
      <c r="N24" s="86"/>
      <c r="O24" s="86"/>
      <c r="P24" s="86"/>
      <c r="Q24" s="86"/>
    </row>
    <row r="25" spans="2:17">
      <c r="N25" s="86"/>
      <c r="O25" s="86"/>
      <c r="P25" s="86"/>
      <c r="Q25" s="86"/>
    </row>
  </sheetData>
  <autoFilter ref="N11:Q11" xr:uid="{00000000-0009-0000-0000-000006000000}"/>
  <mergeCells count="1">
    <mergeCell ref="F11:I17"/>
  </mergeCells>
  <dataValidations count="1">
    <dataValidation type="list" allowBlank="1" showInputMessage="1" showErrorMessage="1" sqref="C13" xr:uid="{00000000-0002-0000-0600-000000000000}">
      <formula1>N_client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04" r:id="rId4" name="CommandButton3">
          <controlPr autoLine="0" autoPict="0" r:id="rId5">
            <anchor moveWithCells="1">
              <from>
                <xdr:col>5</xdr:col>
                <xdr:colOff>184150</xdr:colOff>
                <xdr:row>17</xdr:row>
                <xdr:rowOff>107950</xdr:rowOff>
              </from>
              <to>
                <xdr:col>6</xdr:col>
                <xdr:colOff>869950</xdr:colOff>
                <xdr:row>19</xdr:row>
                <xdr:rowOff>114300</xdr:rowOff>
              </to>
            </anchor>
          </controlPr>
        </control>
      </mc:Choice>
      <mc:Fallback>
        <control shapeId="8204" r:id="rId4" name="CommandButton3"/>
      </mc:Fallback>
    </mc:AlternateContent>
    <mc:AlternateContent xmlns:mc="http://schemas.openxmlformats.org/markup-compatibility/2006">
      <mc:Choice Requires="x14">
        <control shapeId="8196" r:id="rId6" name="CommandButton2">
          <controlPr autoLine="0" r:id="rId7">
            <anchor moveWithCells="1">
              <from>
                <xdr:col>7</xdr:col>
                <xdr:colOff>615950</xdr:colOff>
                <xdr:row>17</xdr:row>
                <xdr:rowOff>139700</xdr:rowOff>
              </from>
              <to>
                <xdr:col>8</xdr:col>
                <xdr:colOff>1371600</xdr:colOff>
                <xdr:row>18</xdr:row>
                <xdr:rowOff>336550</xdr:rowOff>
              </to>
            </anchor>
          </controlPr>
        </control>
      </mc:Choice>
      <mc:Fallback>
        <control shapeId="8196" r:id="rId6" name="CommandButton2"/>
      </mc:Fallback>
    </mc:AlternateContent>
    <mc:AlternateContent xmlns:mc="http://schemas.openxmlformats.org/markup-compatibility/2006">
      <mc:Choice Requires="x14">
        <control shapeId="8194" r:id="rId8" name="CommandButton1">
          <controlPr defaultSize="0" autoLine="0" autoPict="0" r:id="rId9">
            <anchor moveWithCells="1">
              <from>
                <xdr:col>7</xdr:col>
                <xdr:colOff>565150</xdr:colOff>
                <xdr:row>20</xdr:row>
                <xdr:rowOff>107950</xdr:rowOff>
              </from>
              <to>
                <xdr:col>9</xdr:col>
                <xdr:colOff>38100</xdr:colOff>
                <xdr:row>22</xdr:row>
                <xdr:rowOff>101600</xdr:rowOff>
              </to>
            </anchor>
          </controlPr>
        </control>
      </mc:Choice>
      <mc:Fallback>
        <control shapeId="8194" r:id="rId8" name="CommandButton1"/>
      </mc:Fallback>
    </mc:AlternateContent>
    <mc:AlternateContent xmlns:mc="http://schemas.openxmlformats.org/markup-compatibility/2006">
      <mc:Choice Requires="x14">
        <control shapeId="8205" r:id="rId10" name="CommandButton4">
          <controlPr autoLine="0" r:id="rId11">
            <anchor moveWithCells="1">
              <from>
                <xdr:col>12</xdr:col>
                <xdr:colOff>107950</xdr:colOff>
                <xdr:row>18</xdr:row>
                <xdr:rowOff>298450</xdr:rowOff>
              </from>
              <to>
                <xdr:col>13</xdr:col>
                <xdr:colOff>292100</xdr:colOff>
                <xdr:row>19</xdr:row>
                <xdr:rowOff>311150</xdr:rowOff>
              </to>
            </anchor>
          </controlPr>
        </control>
      </mc:Choice>
      <mc:Fallback>
        <control shapeId="8205" r:id="rId10" name="CommandButton4"/>
      </mc:Fallback>
    </mc:AlternateContent>
    <mc:AlternateContent xmlns:mc="http://schemas.openxmlformats.org/markup-compatibility/2006">
      <mc:Choice Requires="x14">
        <control shapeId="8208" r:id="rId12" name="CommandButton5">
          <controlPr defaultSize="0" autoLine="0" r:id="rId13">
            <anchor moveWithCells="1">
              <from>
                <xdr:col>12</xdr:col>
                <xdr:colOff>114300</xdr:colOff>
                <xdr:row>17</xdr:row>
                <xdr:rowOff>152400</xdr:rowOff>
              </from>
              <to>
                <xdr:col>13</xdr:col>
                <xdr:colOff>228600</xdr:colOff>
                <xdr:row>18</xdr:row>
                <xdr:rowOff>209550</xdr:rowOff>
              </to>
            </anchor>
          </controlPr>
        </control>
      </mc:Choice>
      <mc:Fallback>
        <control shapeId="8208" r:id="rId12" name="CommandButton5"/>
      </mc:Fallback>
    </mc:AlternateContent>
    <mc:AlternateContent xmlns:mc="http://schemas.openxmlformats.org/markup-compatibility/2006">
      <mc:Choice Requires="x14">
        <control shapeId="8209" r:id="rId14" name="CommandButton6">
          <controlPr defaultSize="0" autoLine="0" autoPict="0" r:id="rId15">
            <anchor moveWithCells="1">
              <from>
                <xdr:col>12</xdr:col>
                <xdr:colOff>95250</xdr:colOff>
                <xdr:row>20</xdr:row>
                <xdr:rowOff>25400</xdr:rowOff>
              </from>
              <to>
                <xdr:col>13</xdr:col>
                <xdr:colOff>482600</xdr:colOff>
                <xdr:row>22</xdr:row>
                <xdr:rowOff>12700</xdr:rowOff>
              </to>
            </anchor>
          </controlPr>
        </control>
      </mc:Choice>
      <mc:Fallback>
        <control shapeId="8209" r:id="rId14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1000000}">
          <x14:formula1>
            <xm:f>'Base Articles'!$B$20:$B$25</xm:f>
          </x14:formula1>
          <xm:sqref>C14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>
    <tabColor rgb="FFFF6699"/>
  </sheetPr>
  <dimension ref="B1:I68"/>
  <sheetViews>
    <sheetView zoomScale="64" zoomScaleNormal="64" workbookViewId="0">
      <selection activeCell="F55" sqref="F55"/>
    </sheetView>
  </sheetViews>
  <sheetFormatPr defaultColWidth="11.453125" defaultRowHeight="14.5"/>
  <cols>
    <col min="1" max="1" width="5.6328125" style="3" customWidth="1"/>
    <col min="2" max="2" width="28" style="3" bestFit="1" customWidth="1"/>
    <col min="3" max="3" width="31.453125" style="3" bestFit="1" customWidth="1"/>
    <col min="4" max="4" width="28" style="3" bestFit="1" customWidth="1"/>
    <col min="5" max="5" width="36.54296875" style="3" customWidth="1"/>
    <col min="6" max="6" width="26" style="3" bestFit="1" customWidth="1"/>
    <col min="7" max="7" width="19.08984375" bestFit="1" customWidth="1"/>
    <col min="8" max="8" width="26.36328125" style="3" bestFit="1" customWidth="1"/>
    <col min="9" max="9" width="84.7265625" style="3" bestFit="1" customWidth="1"/>
    <col min="10" max="16384" width="11.453125" style="3"/>
  </cols>
  <sheetData>
    <row r="1" spans="2:9">
      <c r="G1" s="3"/>
    </row>
    <row r="2" spans="2:9">
      <c r="G2" s="3"/>
    </row>
    <row r="3" spans="2:9">
      <c r="G3" s="3"/>
    </row>
    <row r="4" spans="2:9">
      <c r="G4" s="3"/>
    </row>
    <row r="5" spans="2:9">
      <c r="G5" s="3"/>
    </row>
    <row r="6" spans="2:9">
      <c r="G6" s="3"/>
    </row>
    <row r="7" spans="2:9">
      <c r="G7" s="3"/>
    </row>
    <row r="8" spans="2:9">
      <c r="G8" s="3"/>
    </row>
    <row r="9" spans="2:9">
      <c r="G9" s="3"/>
    </row>
    <row r="10" spans="2:9">
      <c r="G10" s="3"/>
    </row>
    <row r="11" spans="2:9">
      <c r="G11" s="3"/>
    </row>
    <row r="12" spans="2:9">
      <c r="G12" s="3"/>
    </row>
    <row r="13" spans="2:9" ht="22.5">
      <c r="B13" s="15"/>
      <c r="C13" s="15"/>
      <c r="D13" s="15"/>
      <c r="E13" s="15"/>
      <c r="F13" s="15"/>
      <c r="G13" s="15"/>
      <c r="H13" s="15"/>
      <c r="I13" s="15"/>
    </row>
    <row r="14" spans="2:9" ht="22.5">
      <c r="B14" s="15"/>
      <c r="C14" s="15"/>
      <c r="D14" s="15"/>
      <c r="E14" s="15"/>
      <c r="F14" s="15"/>
      <c r="G14" s="15"/>
      <c r="H14" s="15"/>
      <c r="I14" s="15"/>
    </row>
    <row r="15" spans="2:9" ht="22.5">
      <c r="B15" s="15"/>
      <c r="C15" s="15"/>
      <c r="D15" s="15"/>
      <c r="E15" s="15"/>
      <c r="F15" s="15"/>
      <c r="G15" s="15"/>
      <c r="H15" s="15"/>
      <c r="I15" s="15"/>
    </row>
    <row r="16" spans="2:9" ht="22.5">
      <c r="B16" s="15"/>
      <c r="C16" s="15"/>
      <c r="D16" s="15"/>
      <c r="E16" s="15"/>
      <c r="F16" s="15"/>
      <c r="G16" s="15"/>
      <c r="H16" s="15"/>
      <c r="I16" s="15"/>
    </row>
    <row r="17" spans="2:9" ht="22.5">
      <c r="B17" s="15"/>
      <c r="C17" s="15"/>
      <c r="D17" s="15"/>
      <c r="E17" s="15"/>
      <c r="F17" s="15"/>
      <c r="G17" s="15"/>
      <c r="H17" s="15"/>
      <c r="I17" s="15"/>
    </row>
    <row r="18" spans="2:9" ht="22.5">
      <c r="B18" s="15"/>
      <c r="C18" s="15"/>
      <c r="D18" s="15"/>
      <c r="E18" s="15"/>
      <c r="F18" s="15"/>
      <c r="G18" s="15"/>
      <c r="H18" s="15"/>
      <c r="I18" s="15"/>
    </row>
    <row r="19" spans="2:9" ht="74">
      <c r="B19" s="16" t="s">
        <v>14</v>
      </c>
      <c r="C19" s="16" t="s">
        <v>16</v>
      </c>
      <c r="D19" s="16" t="s">
        <v>5</v>
      </c>
      <c r="E19" s="16" t="s">
        <v>7</v>
      </c>
      <c r="F19" s="16" t="s">
        <v>6</v>
      </c>
      <c r="G19" s="16" t="s">
        <v>15</v>
      </c>
      <c r="H19" s="16" t="s">
        <v>0</v>
      </c>
      <c r="I19" s="157" t="s">
        <v>160</v>
      </c>
    </row>
    <row r="20" spans="2:9" ht="149.25" customHeight="1">
      <c r="B20" s="5">
        <v>1</v>
      </c>
      <c r="C20" s="5" t="str">
        <f>CONCATENATE("Cup","00",Tableau1[[#This Row],[Numéro]])</f>
        <v>Cup001</v>
      </c>
      <c r="D20" s="6" t="s">
        <v>10</v>
      </c>
      <c r="E20" s="7" t="str">
        <f>"Fiche Articles"&amp;ADDRESS(ROW(F20),COLUMN(F20))</f>
        <v>Fiche Articles$F$20</v>
      </c>
      <c r="F20" s="7"/>
      <c r="G20" s="8">
        <v>2.9</v>
      </c>
      <c r="H20" s="9"/>
      <c r="I20" s="155" t="s">
        <v>162</v>
      </c>
    </row>
    <row r="21" spans="2:9" ht="149.25" customHeight="1">
      <c r="B21" s="5">
        <v>2</v>
      </c>
      <c r="C21" s="5" t="str">
        <f>CONCATENATE("Cup","00",Tableau1[[#This Row],[Numéro]])</f>
        <v>Cup002</v>
      </c>
      <c r="D21" s="6" t="s">
        <v>9</v>
      </c>
      <c r="E21" s="7" t="str">
        <f>"Fiche Articles"&amp;ADDRESS(ROW(F21),COLUMN(F21))</f>
        <v>Fiche Articles$F$21</v>
      </c>
      <c r="F21" s="7"/>
      <c r="G21" s="8">
        <v>2.9</v>
      </c>
      <c r="H21" s="9"/>
      <c r="I21" s="155" t="s">
        <v>163</v>
      </c>
    </row>
    <row r="22" spans="2:9" ht="149.25" customHeight="1">
      <c r="B22" s="5">
        <v>3</v>
      </c>
      <c r="C22" s="5" t="str">
        <f>CONCATENATE("Cup","00",Tableau1[[#This Row],[Numéro]])</f>
        <v>Cup003</v>
      </c>
      <c r="D22" s="6" t="s">
        <v>11</v>
      </c>
      <c r="E22" s="7" t="str">
        <f>"Fiche Articles"&amp;ADDRESS(ROW(F22),COLUMN(F22))</f>
        <v>Fiche Articles$F$22</v>
      </c>
      <c r="F22" s="7"/>
      <c r="G22" s="8">
        <v>2.9</v>
      </c>
      <c r="H22" s="9"/>
      <c r="I22" s="155" t="s">
        <v>161</v>
      </c>
    </row>
    <row r="23" spans="2:9" ht="149.25" customHeight="1">
      <c r="B23" s="5">
        <v>4</v>
      </c>
      <c r="C23" s="5" t="str">
        <f>CONCATENATE("Cup","00",Tableau1[[#This Row],[Numéro]])</f>
        <v>Cup004</v>
      </c>
      <c r="D23" s="6" t="s">
        <v>12</v>
      </c>
      <c r="E23" s="7" t="str">
        <f>"Fiche Articles"&amp;ADDRESS(ROW(F23),COLUMN(F23))</f>
        <v>Fiche Articles$F$23</v>
      </c>
      <c r="F23" s="7"/>
      <c r="G23" s="8">
        <v>2.9</v>
      </c>
      <c r="H23" s="9"/>
      <c r="I23" s="155" t="s">
        <v>164</v>
      </c>
    </row>
    <row r="24" spans="2:9" ht="149.25" customHeight="1">
      <c r="B24" s="5">
        <v>5</v>
      </c>
      <c r="C24" s="5" t="str">
        <f>CONCATENATE("Cup","00",Tableau1[[#This Row],[Numéro]])</f>
        <v>Cup005</v>
      </c>
      <c r="D24" s="6" t="s">
        <v>13</v>
      </c>
      <c r="E24" s="7" t="str">
        <f>"Fiche Articles"&amp;ADDRESS(ROW(F24),COLUMN(F24))</f>
        <v>Fiche Articles$F$24</v>
      </c>
      <c r="F24" s="7"/>
      <c r="G24" s="8">
        <v>2.9</v>
      </c>
      <c r="H24" s="9"/>
      <c r="I24" s="155" t="s">
        <v>165</v>
      </c>
    </row>
    <row r="25" spans="2:9" ht="149.25" customHeight="1">
      <c r="B25" s="10">
        <v>6</v>
      </c>
      <c r="C25" s="10" t="str">
        <f>CONCATENATE("Cup","00",Tableau1[[#This Row],[Numéro]])</f>
        <v>Cup006</v>
      </c>
      <c r="D25" s="11" t="s">
        <v>8</v>
      </c>
      <c r="E25" s="12" t="str">
        <f>"Fiche Articles"&amp;ADDRESS(ROW(F25),COLUMN(F25))</f>
        <v>Fiche Articles$F$25</v>
      </c>
      <c r="F25" s="12"/>
      <c r="G25" s="8">
        <v>2.9</v>
      </c>
      <c r="H25" s="13"/>
      <c r="I25" s="156" t="s">
        <v>166</v>
      </c>
    </row>
    <row r="26" spans="2:9" ht="22.5">
      <c r="B26" s="15"/>
      <c r="C26" s="15"/>
      <c r="D26" s="15"/>
      <c r="E26" s="15"/>
      <c r="F26" s="15"/>
      <c r="G26" s="17"/>
      <c r="H26" s="15"/>
      <c r="I26" s="15"/>
    </row>
    <row r="27" spans="2:9" ht="22.5">
      <c r="B27" s="15"/>
      <c r="C27" s="15"/>
      <c r="D27" s="15"/>
      <c r="E27" s="15"/>
      <c r="F27" s="15"/>
      <c r="G27" s="17"/>
      <c r="H27" s="15"/>
      <c r="I27" s="15"/>
    </row>
    <row r="28" spans="2:9" ht="22.5">
      <c r="B28" s="15"/>
      <c r="C28" s="15"/>
      <c r="D28" s="15"/>
      <c r="E28" s="15"/>
      <c r="F28" s="15"/>
      <c r="G28" s="17"/>
      <c r="H28" s="15"/>
      <c r="I28" s="15"/>
    </row>
    <row r="29" spans="2:9" ht="22.5">
      <c r="B29" s="15"/>
      <c r="C29" s="15"/>
      <c r="D29" s="15"/>
      <c r="E29" s="15"/>
      <c r="F29" s="15"/>
      <c r="G29" s="17"/>
      <c r="H29" s="15"/>
      <c r="I29" s="15"/>
    </row>
    <row r="30" spans="2:9" ht="22.5">
      <c r="B30" s="15"/>
      <c r="C30" s="15"/>
      <c r="D30" s="15"/>
      <c r="E30" s="15"/>
      <c r="F30" s="15"/>
      <c r="G30" s="17"/>
      <c r="H30" s="15"/>
      <c r="I30" s="15"/>
    </row>
    <row r="31" spans="2:9" ht="22.5">
      <c r="B31" s="15"/>
      <c r="C31" s="15"/>
      <c r="D31" s="15"/>
      <c r="E31" s="15"/>
      <c r="F31" s="15"/>
      <c r="G31" s="17"/>
      <c r="H31" s="15"/>
      <c r="I31" s="15"/>
    </row>
    <row r="32" spans="2:9" ht="22.5">
      <c r="B32" s="15"/>
      <c r="C32" s="15"/>
      <c r="D32" s="15"/>
      <c r="E32" s="15"/>
      <c r="F32" s="15"/>
      <c r="G32" s="17"/>
      <c r="H32" s="15"/>
      <c r="I32" s="15"/>
    </row>
    <row r="33" spans="2:9" ht="22.5">
      <c r="B33" s="15"/>
      <c r="C33" s="15"/>
      <c r="D33" s="15"/>
      <c r="E33" s="15"/>
      <c r="F33" s="15"/>
      <c r="G33" s="17"/>
      <c r="H33" s="15"/>
      <c r="I33" s="15"/>
    </row>
    <row r="34" spans="2:9" ht="22.5">
      <c r="B34" s="15"/>
      <c r="C34" s="15"/>
      <c r="D34" s="15"/>
      <c r="E34" s="15"/>
      <c r="F34" s="15"/>
      <c r="G34" s="17"/>
      <c r="H34" s="15"/>
      <c r="I34" s="15"/>
    </row>
    <row r="35" spans="2:9" ht="22.5">
      <c r="B35" s="15"/>
      <c r="C35" s="15"/>
      <c r="D35" s="15"/>
      <c r="E35" s="15"/>
      <c r="F35" s="15"/>
      <c r="G35" s="17"/>
      <c r="H35" s="15"/>
      <c r="I35" s="15"/>
    </row>
    <row r="36" spans="2:9" ht="22.5">
      <c r="B36" s="15"/>
      <c r="C36" s="15"/>
      <c r="D36" s="15"/>
      <c r="E36" s="15"/>
      <c r="F36" s="15"/>
      <c r="G36" s="17"/>
      <c r="H36" s="15"/>
      <c r="I36" s="15"/>
    </row>
    <row r="37" spans="2:9" ht="22.5">
      <c r="B37" s="15"/>
      <c r="C37" s="15"/>
      <c r="D37" s="15"/>
      <c r="E37" s="15"/>
      <c r="F37" s="15"/>
      <c r="G37" s="17"/>
      <c r="H37" s="15"/>
      <c r="I37" s="15"/>
    </row>
    <row r="38" spans="2:9" ht="22.5">
      <c r="B38" s="15"/>
      <c r="C38" s="15"/>
      <c r="D38" s="15"/>
      <c r="E38" s="15"/>
      <c r="F38" s="15"/>
      <c r="G38" s="17"/>
      <c r="H38" s="15"/>
      <c r="I38" s="15"/>
    </row>
    <row r="39" spans="2:9" ht="22.5">
      <c r="B39" s="15"/>
      <c r="C39" s="15"/>
      <c r="D39" s="15"/>
      <c r="E39" s="15"/>
      <c r="F39" s="15"/>
      <c r="G39" s="17"/>
      <c r="H39" s="15"/>
      <c r="I39" s="15"/>
    </row>
    <row r="40" spans="2:9" ht="22.5">
      <c r="B40" s="15"/>
      <c r="C40" s="15"/>
      <c r="D40" s="15"/>
      <c r="E40" s="15"/>
      <c r="F40" s="15"/>
      <c r="G40" s="17"/>
      <c r="H40" s="15"/>
      <c r="I40" s="15"/>
    </row>
    <row r="41" spans="2:9" ht="22.5">
      <c r="B41" s="15"/>
      <c r="C41" s="15"/>
      <c r="D41" s="15"/>
      <c r="E41" s="15"/>
      <c r="F41" s="15"/>
      <c r="G41" s="17"/>
      <c r="H41" s="15"/>
      <c r="I41" s="15"/>
    </row>
    <row r="42" spans="2:9" ht="22.5">
      <c r="B42" s="15"/>
      <c r="C42" s="15"/>
      <c r="D42" s="15"/>
      <c r="E42" s="15"/>
      <c r="F42" s="15"/>
      <c r="G42" s="17"/>
      <c r="H42" s="15"/>
      <c r="I42" s="15"/>
    </row>
    <row r="43" spans="2:9" ht="22.5">
      <c r="B43" s="15"/>
      <c r="C43" s="15"/>
      <c r="D43" s="15"/>
      <c r="E43" s="15"/>
      <c r="F43" s="15"/>
      <c r="G43" s="17"/>
      <c r="H43" s="15"/>
      <c r="I43" s="15"/>
    </row>
    <row r="44" spans="2:9" ht="22.5">
      <c r="B44" s="15"/>
      <c r="C44" s="15"/>
      <c r="D44" s="15"/>
      <c r="E44" s="15"/>
      <c r="F44" s="15"/>
      <c r="G44" s="17"/>
      <c r="H44" s="15"/>
      <c r="I44" s="15"/>
    </row>
    <row r="45" spans="2:9" ht="22.5">
      <c r="B45" s="15"/>
      <c r="C45" s="15"/>
      <c r="D45" s="15"/>
      <c r="E45" s="15"/>
      <c r="F45" s="15"/>
      <c r="G45" s="17"/>
      <c r="H45" s="15"/>
      <c r="I45" s="15"/>
    </row>
    <row r="46" spans="2:9" ht="22.5">
      <c r="B46" s="15"/>
      <c r="C46" s="15"/>
      <c r="D46" s="15"/>
      <c r="E46" s="15"/>
      <c r="F46" s="15"/>
      <c r="G46" s="17"/>
      <c r="H46" s="15"/>
      <c r="I46" s="15"/>
    </row>
    <row r="47" spans="2:9" ht="22.5">
      <c r="B47" s="15"/>
      <c r="C47" s="15"/>
      <c r="D47" s="15"/>
      <c r="E47" s="15"/>
      <c r="F47" s="15"/>
      <c r="G47" s="17"/>
      <c r="H47" s="15"/>
      <c r="I47" s="15"/>
    </row>
    <row r="48" spans="2:9" ht="22.5">
      <c r="B48" s="15"/>
      <c r="C48" s="15"/>
      <c r="D48" s="15"/>
      <c r="E48" s="15"/>
      <c r="F48" s="15"/>
      <c r="G48" s="17"/>
      <c r="H48" s="15"/>
      <c r="I48" s="15"/>
    </row>
    <row r="49" spans="2:9" ht="22.5">
      <c r="B49" s="15"/>
      <c r="C49" s="15"/>
      <c r="D49" s="15"/>
      <c r="E49" s="15"/>
      <c r="F49" s="15"/>
      <c r="G49" s="17"/>
      <c r="H49" s="15"/>
      <c r="I49" s="15"/>
    </row>
    <row r="50" spans="2:9" ht="22.5">
      <c r="B50" s="15"/>
      <c r="C50" s="15"/>
      <c r="D50" s="15"/>
      <c r="E50" s="15"/>
      <c r="F50" s="15"/>
      <c r="G50" s="17"/>
      <c r="H50" s="15"/>
      <c r="I50" s="15"/>
    </row>
    <row r="51" spans="2:9" ht="22.5">
      <c r="B51" s="15"/>
      <c r="C51" s="15"/>
      <c r="D51" s="15"/>
      <c r="E51" s="15"/>
      <c r="F51" s="15"/>
      <c r="G51" s="17"/>
      <c r="H51" s="15"/>
      <c r="I51" s="15"/>
    </row>
    <row r="52" spans="2:9" ht="22.5">
      <c r="B52" s="15"/>
      <c r="C52" s="15"/>
      <c r="D52" s="15"/>
      <c r="E52" s="15"/>
      <c r="F52" s="15"/>
      <c r="G52" s="17"/>
      <c r="H52" s="15"/>
      <c r="I52" s="15"/>
    </row>
    <row r="53" spans="2:9" ht="22.5">
      <c r="B53" s="15"/>
      <c r="C53" s="15"/>
      <c r="D53" s="15"/>
      <c r="E53" s="15"/>
      <c r="F53" s="15"/>
      <c r="G53" s="17"/>
      <c r="H53" s="15"/>
      <c r="I53" s="15"/>
    </row>
    <row r="54" spans="2:9" ht="22.5">
      <c r="B54" s="15"/>
      <c r="C54" s="15"/>
      <c r="D54" s="15"/>
      <c r="E54" s="15"/>
      <c r="F54" s="15"/>
      <c r="G54" s="17"/>
      <c r="H54" s="15"/>
      <c r="I54" s="15"/>
    </row>
    <row r="55" spans="2:9" ht="22.5">
      <c r="B55" s="15"/>
      <c r="C55" s="15"/>
      <c r="D55" s="15"/>
      <c r="E55" s="15"/>
      <c r="F55" s="15"/>
      <c r="G55" s="17"/>
      <c r="H55" s="15"/>
      <c r="I55" s="15"/>
    </row>
    <row r="56" spans="2:9" ht="22.5">
      <c r="B56" s="15"/>
      <c r="C56" s="15"/>
      <c r="D56" s="15"/>
      <c r="E56" s="15"/>
      <c r="F56" s="15"/>
      <c r="G56" s="17"/>
      <c r="H56" s="15"/>
      <c r="I56" s="15"/>
    </row>
    <row r="57" spans="2:9" ht="22.5">
      <c r="B57" s="15"/>
      <c r="C57" s="15"/>
      <c r="D57" s="15"/>
      <c r="E57" s="15"/>
      <c r="F57" s="15"/>
      <c r="G57" s="17"/>
      <c r="H57" s="15"/>
      <c r="I57" s="15"/>
    </row>
    <row r="58" spans="2:9" ht="22.5">
      <c r="B58" s="15"/>
      <c r="C58" s="15"/>
      <c r="D58" s="15"/>
      <c r="E58" s="15"/>
      <c r="F58" s="15"/>
      <c r="G58" s="17"/>
      <c r="H58" s="15"/>
      <c r="I58" s="15"/>
    </row>
    <row r="59" spans="2:9" ht="22.5">
      <c r="B59" s="15"/>
      <c r="C59" s="15"/>
      <c r="D59" s="15"/>
      <c r="E59" s="15"/>
      <c r="F59" s="15"/>
      <c r="G59" s="17"/>
      <c r="H59" s="15"/>
      <c r="I59" s="15"/>
    </row>
    <row r="60" spans="2:9" ht="22.5">
      <c r="B60" s="15"/>
      <c r="C60" s="15"/>
      <c r="D60" s="15"/>
      <c r="E60" s="15"/>
      <c r="F60" s="15"/>
      <c r="G60" s="17"/>
      <c r="H60" s="15"/>
      <c r="I60" s="15"/>
    </row>
    <row r="61" spans="2:9" ht="22.5">
      <c r="B61" s="15"/>
      <c r="C61" s="15"/>
      <c r="D61" s="15"/>
      <c r="E61" s="15"/>
      <c r="F61" s="15"/>
      <c r="G61" s="17"/>
      <c r="H61" s="15"/>
      <c r="I61" s="15"/>
    </row>
    <row r="62" spans="2:9" ht="22.5">
      <c r="B62" s="15"/>
      <c r="C62" s="15"/>
      <c r="D62" s="15"/>
      <c r="E62" s="15"/>
      <c r="F62" s="15"/>
      <c r="G62" s="17"/>
      <c r="H62" s="15"/>
      <c r="I62" s="15"/>
    </row>
    <row r="63" spans="2:9" ht="22.5">
      <c r="B63" s="15"/>
      <c r="C63" s="15"/>
      <c r="D63" s="15"/>
      <c r="E63" s="15"/>
      <c r="F63" s="15"/>
      <c r="G63" s="17"/>
      <c r="H63" s="15"/>
      <c r="I63" s="15"/>
    </row>
    <row r="64" spans="2:9" ht="22.5">
      <c r="B64" s="15"/>
      <c r="C64" s="15"/>
      <c r="D64" s="15"/>
      <c r="E64" s="15"/>
      <c r="F64" s="15"/>
      <c r="G64" s="17"/>
      <c r="H64" s="15"/>
      <c r="I64" s="15"/>
    </row>
    <row r="65" spans="2:9" ht="22.5">
      <c r="B65" s="15"/>
      <c r="C65" s="15"/>
      <c r="D65" s="15"/>
      <c r="E65" s="15"/>
      <c r="F65" s="15"/>
      <c r="G65" s="17"/>
      <c r="H65" s="15"/>
      <c r="I65" s="15"/>
    </row>
    <row r="66" spans="2:9" ht="22.5">
      <c r="B66" s="15"/>
      <c r="C66" s="15"/>
      <c r="D66" s="15"/>
      <c r="E66" s="15"/>
      <c r="F66" s="15"/>
      <c r="G66" s="17"/>
      <c r="H66" s="15"/>
      <c r="I66" s="15"/>
    </row>
    <row r="67" spans="2:9" ht="22.5">
      <c r="B67" s="15"/>
      <c r="C67" s="15"/>
      <c r="D67" s="15"/>
      <c r="E67" s="15"/>
      <c r="F67" s="15"/>
      <c r="G67" s="17"/>
      <c r="H67" s="15"/>
      <c r="I67" s="15"/>
    </row>
    <row r="68" spans="2:9" ht="22.5">
      <c r="B68" s="15"/>
      <c r="C68" s="15"/>
      <c r="D68" s="15"/>
      <c r="E68" s="15"/>
      <c r="F68" s="15"/>
      <c r="G68" s="17"/>
      <c r="H68" s="15"/>
      <c r="I68" s="15"/>
    </row>
  </sheetData>
  <phoneticPr fontId="3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>
    <tabColor rgb="FFCC99FF"/>
  </sheetPr>
  <dimension ref="B16:O37"/>
  <sheetViews>
    <sheetView topLeftCell="H14" zoomScale="80" zoomScaleNormal="80" workbookViewId="0">
      <selection activeCell="L17" sqref="L17"/>
    </sheetView>
  </sheetViews>
  <sheetFormatPr defaultColWidth="11.453125" defaultRowHeight="14.5"/>
  <cols>
    <col min="1" max="1" width="2.6328125" style="3" customWidth="1"/>
    <col min="2" max="2" width="14.6328125" style="3" bestFit="1" customWidth="1"/>
    <col min="3" max="3" width="11.54296875" style="3" bestFit="1" customWidth="1"/>
    <col min="4" max="4" width="13.6328125" style="3" bestFit="1" customWidth="1"/>
    <col min="5" max="5" width="28.08984375" style="3" bestFit="1" customWidth="1"/>
    <col min="6" max="6" width="26.54296875" style="3" bestFit="1" customWidth="1"/>
    <col min="7" max="7" width="16.90625" style="3" bestFit="1" customWidth="1"/>
    <col min="8" max="8" width="20.08984375" style="3" bestFit="1" customWidth="1"/>
    <col min="9" max="9" width="11.453125" style="3"/>
    <col min="10" max="10" width="28.90625" style="3" bestFit="1" customWidth="1"/>
    <col min="11" max="11" width="14.08984375" style="3" bestFit="1" customWidth="1"/>
    <col min="12" max="14" width="28.90625" style="3" customWidth="1"/>
    <col min="15" max="15" width="121.6328125" style="3" bestFit="1" customWidth="1"/>
    <col min="16" max="16384" width="11.453125" style="3"/>
  </cols>
  <sheetData>
    <row r="16" spans="2:15" ht="15.5">
      <c r="B16" s="22" t="s">
        <v>17</v>
      </c>
      <c r="C16" s="22" t="s">
        <v>18</v>
      </c>
      <c r="D16" s="22" t="s">
        <v>19</v>
      </c>
      <c r="E16" s="22" t="s">
        <v>20</v>
      </c>
      <c r="F16" s="22" t="s">
        <v>21</v>
      </c>
      <c r="G16" s="22" t="s">
        <v>22</v>
      </c>
      <c r="H16" s="22" t="s">
        <v>23</v>
      </c>
      <c r="I16" s="22" t="s">
        <v>24</v>
      </c>
      <c r="J16" s="22" t="s">
        <v>25</v>
      </c>
      <c r="K16" s="22" t="s">
        <v>26</v>
      </c>
      <c r="L16" s="22" t="s">
        <v>159</v>
      </c>
      <c r="M16" s="22" t="s">
        <v>158</v>
      </c>
      <c r="N16" s="22" t="s">
        <v>167</v>
      </c>
      <c r="O16" s="22" t="s">
        <v>27</v>
      </c>
    </row>
    <row r="17" spans="2:15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152"/>
      <c r="N17" s="152"/>
      <c r="O17" s="23"/>
    </row>
    <row r="18" spans="2:15">
      <c r="B18" s="24">
        <v>1</v>
      </c>
      <c r="C18" s="24" t="s">
        <v>28</v>
      </c>
      <c r="D18" s="24" t="s">
        <v>29</v>
      </c>
      <c r="E18" s="24" t="s">
        <v>68</v>
      </c>
      <c r="F18" s="24"/>
      <c r="G18" s="25">
        <v>38420</v>
      </c>
      <c r="H18" s="24" t="s">
        <v>69</v>
      </c>
      <c r="I18" s="24" t="s">
        <v>70</v>
      </c>
      <c r="J18" s="26" t="s">
        <v>108</v>
      </c>
      <c r="K18" s="27">
        <v>668876786</v>
      </c>
      <c r="L18" s="26"/>
      <c r="M18" s="153"/>
      <c r="N18" s="153"/>
      <c r="O18" s="28" t="str">
        <f>CONCATENATE(C18," ",D18,CHAR(10),E18," ",F18,CHAR(10),G18," ",H18,CHAR(10)," ",I18,CHAR(10),J18,CHAR(10),"0",K18)</f>
        <v>DEBROUSSE PHILLIPE
6 RUE DES DEYMES 
38420 LE VERSOUD
 France
debrousse.phillipe@gmail.com
0668876786</v>
      </c>
    </row>
    <row r="19" spans="2:15">
      <c r="B19" s="24">
        <v>2</v>
      </c>
      <c r="C19" s="24" t="s">
        <v>30</v>
      </c>
      <c r="D19" s="24" t="s">
        <v>31</v>
      </c>
      <c r="E19" s="24" t="s">
        <v>71</v>
      </c>
      <c r="F19" s="24" t="s">
        <v>72</v>
      </c>
      <c r="G19" s="25">
        <v>69003</v>
      </c>
      <c r="H19" s="24" t="s">
        <v>73</v>
      </c>
      <c r="I19" s="24" t="s">
        <v>74</v>
      </c>
      <c r="J19" s="26" t="s">
        <v>109</v>
      </c>
      <c r="K19" s="27">
        <v>634701461</v>
      </c>
      <c r="L19" s="26"/>
      <c r="M19" s="153"/>
      <c r="N19" s="153"/>
      <c r="O19" s="28" t="str">
        <f>CONCATENATE(C19," ",D19,CHAR(10),E19," ",F19,CHAR(10),G19," ",H19,CHAR(10)," ",I19,CHAR(10),J19,CHAR(10),"0",K19)</f>
        <v>GALICE ALICE
33 RUE DE BONNEL BAT A
69003 LYON
 France 
galice.alice@gmail.com
0634701461</v>
      </c>
    </row>
    <row r="20" spans="2:15">
      <c r="B20" s="24">
        <v>3</v>
      </c>
      <c r="C20" s="24" t="s">
        <v>32</v>
      </c>
      <c r="D20" s="24" t="s">
        <v>33</v>
      </c>
      <c r="E20" s="24" t="s">
        <v>75</v>
      </c>
      <c r="F20" s="24"/>
      <c r="G20" s="25">
        <v>38100</v>
      </c>
      <c r="H20" s="24" t="s">
        <v>76</v>
      </c>
      <c r="I20" s="24" t="s">
        <v>74</v>
      </c>
      <c r="J20" s="26" t="s">
        <v>110</v>
      </c>
      <c r="K20" s="27">
        <v>671922316</v>
      </c>
      <c r="L20" s="26"/>
      <c r="M20" s="153"/>
      <c r="N20" s="153"/>
      <c r="O20" s="28" t="str">
        <f>CONCATENATE(C20," ",D20,CHAR(10),E20," ",F20,CHAR(10),G20," ",H20,CHAR(10)," ",I20,CHAR(10),J20,CHAR(10),"0",K20)</f>
        <v>SOYEUR JEAN
74 AVENUE DE CONSTANTINE 
38100 ECHIROLLES
 France 
soyeur.jean@gmail.com
0671922316</v>
      </c>
    </row>
    <row r="21" spans="2:15">
      <c r="B21" s="24">
        <v>4</v>
      </c>
      <c r="C21" s="24" t="s">
        <v>34</v>
      </c>
      <c r="D21" s="24" t="s">
        <v>35</v>
      </c>
      <c r="E21" s="24" t="s">
        <v>77</v>
      </c>
      <c r="F21" s="24"/>
      <c r="G21" s="25">
        <v>13005</v>
      </c>
      <c r="H21" s="24" t="s">
        <v>78</v>
      </c>
      <c r="I21" s="24" t="s">
        <v>74</v>
      </c>
      <c r="J21" s="26" t="s">
        <v>111</v>
      </c>
      <c r="K21" s="27">
        <v>689914791</v>
      </c>
      <c r="L21" s="26"/>
      <c r="M21" s="153"/>
      <c r="N21" s="153"/>
      <c r="O21" s="28" t="str">
        <f>CONCATENATE(C21," ",D21,CHAR(10),E21," ",F21,CHAR(10),G21," ",H21,CHAR(10)," ",I21,CHAR(10),J21,CHAR(10),"0",K21)</f>
        <v>MURRER BERNARD
44 RUE DU PORTAIL 
13005 MARSEILLE
 France 
murrer.bernard@gmail.com
0689914791</v>
      </c>
    </row>
    <row r="22" spans="2:15">
      <c r="B22" s="24">
        <v>5</v>
      </c>
      <c r="C22" s="24" t="s">
        <v>36</v>
      </c>
      <c r="D22" s="24" t="s">
        <v>37</v>
      </c>
      <c r="E22" s="24" t="s">
        <v>79</v>
      </c>
      <c r="F22" s="24"/>
      <c r="G22" s="25">
        <v>13002</v>
      </c>
      <c r="H22" s="24" t="s">
        <v>80</v>
      </c>
      <c r="I22" s="24" t="s">
        <v>74</v>
      </c>
      <c r="J22" s="26" t="s">
        <v>112</v>
      </c>
      <c r="K22" s="27">
        <v>690602197</v>
      </c>
      <c r="L22" s="26"/>
      <c r="M22" s="153"/>
      <c r="N22" s="153"/>
      <c r="O22" s="28" t="str">
        <f>CONCATENATE(C22," ",D22,CHAR(10),E22," ",F22,CHAR(10),G22," ",H22,CHAR(10)," ",I22,CHAR(10),J22,CHAR(10),"0",K22)</f>
        <v>EMPORIO GILL
63 RUE DE LA REPUBLIQUE  
13002 MARSEILLE 
 France 
emporio.gill@gmail.com
0690602197</v>
      </c>
    </row>
    <row r="23" spans="2:15">
      <c r="B23" s="24">
        <v>6</v>
      </c>
      <c r="C23" s="24" t="s">
        <v>38</v>
      </c>
      <c r="D23" s="24" t="s">
        <v>39</v>
      </c>
      <c r="E23" s="24" t="s">
        <v>81</v>
      </c>
      <c r="F23" s="24"/>
      <c r="G23" s="25">
        <v>13003</v>
      </c>
      <c r="H23" s="24" t="s">
        <v>78</v>
      </c>
      <c r="I23" s="24" t="s">
        <v>74</v>
      </c>
      <c r="J23" s="26" t="s">
        <v>113</v>
      </c>
      <c r="K23" s="27">
        <v>626190370</v>
      </c>
      <c r="L23" s="26"/>
      <c r="M23" s="153"/>
      <c r="N23" s="153"/>
      <c r="O23" s="28" t="str">
        <f>CONCATENATE(C23," ",D23,CHAR(10),E23," ",F23,CHAR(10),G23," ",H23,CHAR(10)," ",I23,CHAR(10),J23,CHAR(10),"0",K23)</f>
        <v>LEBRA LILIANE
72 BOULEVARD DE STRASBOURG 
13003 MARSEILLE
 France 
lebra.liliane@gmail.com
0626190370</v>
      </c>
    </row>
    <row r="24" spans="2:15">
      <c r="B24" s="24">
        <v>7</v>
      </c>
      <c r="C24" s="24" t="s">
        <v>40</v>
      </c>
      <c r="D24" s="24" t="s">
        <v>41</v>
      </c>
      <c r="E24" s="24" t="s">
        <v>82</v>
      </c>
      <c r="F24" s="24"/>
      <c r="G24" s="25">
        <v>1000</v>
      </c>
      <c r="H24" s="24" t="s">
        <v>83</v>
      </c>
      <c r="I24" s="24" t="s">
        <v>70</v>
      </c>
      <c r="J24" s="26" t="s">
        <v>114</v>
      </c>
      <c r="K24" s="27">
        <v>6185321083</v>
      </c>
      <c r="L24" s="26"/>
      <c r="M24" s="153"/>
      <c r="N24" s="153"/>
      <c r="O24" s="28" t="str">
        <f>CONCATENATE(C24," ",D24,CHAR(10),E24," ",F24,CHAR(10),G24," ",H24,CHAR(10)," ",I24,CHAR(10),J24,CHAR(10),"0",K24)</f>
        <v>GAUDIT ISABELLE
2 RUE BOURGMAYER 
1000 BOURG EN BRESSE 
 France
gaudit.isabelle@gmail.com
06185321083</v>
      </c>
    </row>
    <row r="25" spans="2:15">
      <c r="B25" s="24">
        <v>8</v>
      </c>
      <c r="C25" s="24" t="s">
        <v>43</v>
      </c>
      <c r="D25" s="24" t="s">
        <v>42</v>
      </c>
      <c r="E25" s="24" t="s">
        <v>84</v>
      </c>
      <c r="F25" s="24" t="s">
        <v>86</v>
      </c>
      <c r="G25" s="25">
        <v>6300</v>
      </c>
      <c r="H25" s="24" t="s">
        <v>85</v>
      </c>
      <c r="I25" s="24" t="s">
        <v>70</v>
      </c>
      <c r="J25" s="26" t="s">
        <v>115</v>
      </c>
      <c r="K25" s="27">
        <v>692032763</v>
      </c>
      <c r="L25" s="26"/>
      <c r="M25" s="153"/>
      <c r="N25" s="153"/>
      <c r="O25" s="28" t="str">
        <f>CONCATENATE(C25," ",D25,CHAR(10),E25," ",F25,CHAR(10),G25," ",H25,CHAR(10)," ",I25,CHAR(10),J25,CHAR(10),"0",K25)</f>
        <v>LARUE CORINNE
155 ROUTE DE TURIN BAT 22 - ESCALIER 1
6300 NICE 
 France
larue.corinne@gmail.com
0692032763</v>
      </c>
    </row>
    <row r="26" spans="2:15">
      <c r="B26" s="24">
        <v>9</v>
      </c>
      <c r="C26" s="24" t="s">
        <v>44</v>
      </c>
      <c r="D26" s="24" t="s">
        <v>45</v>
      </c>
      <c r="E26" s="24" t="s">
        <v>87</v>
      </c>
      <c r="F26" s="24"/>
      <c r="G26" s="25">
        <v>13170</v>
      </c>
      <c r="H26" s="24" t="s">
        <v>88</v>
      </c>
      <c r="I26" s="24" t="s">
        <v>70</v>
      </c>
      <c r="J26" s="26" t="s">
        <v>116</v>
      </c>
      <c r="K26" s="27">
        <v>658238236</v>
      </c>
      <c r="L26" s="26"/>
      <c r="M26" s="153"/>
      <c r="N26" s="153"/>
      <c r="O26" s="28" t="str">
        <f>CONCATENATE(C26," ",D26,CHAR(10),E26," ",F26,CHAR(10),G26," ",H26,CHAR(10)," ",I26,CHAR(10),J26,CHAR(10),"0",K26)</f>
        <v>DUMARTRE BERANGERE
5 IMPASSE HECTOR BERLIOZE 
13170 LES PENNES MIRABEAU
 France
dumartre.berangere@gmail.com
0658238236</v>
      </c>
    </row>
    <row r="27" spans="2:15">
      <c r="B27" s="24">
        <v>10</v>
      </c>
      <c r="C27" s="24" t="s">
        <v>46</v>
      </c>
      <c r="D27" s="24" t="s">
        <v>47</v>
      </c>
      <c r="E27" s="24" t="s">
        <v>89</v>
      </c>
      <c r="F27" s="24" t="s">
        <v>90</v>
      </c>
      <c r="G27" s="25">
        <v>13340</v>
      </c>
      <c r="H27" s="24" t="s">
        <v>91</v>
      </c>
      <c r="I27" s="24" t="s">
        <v>70</v>
      </c>
      <c r="J27" s="26" t="s">
        <v>117</v>
      </c>
      <c r="K27" s="27">
        <v>683722548</v>
      </c>
      <c r="L27" s="26"/>
      <c r="M27" s="153"/>
      <c r="N27" s="153"/>
      <c r="O27" s="28" t="str">
        <f>CONCATENATE(C27," ",D27,CHAR(10),E27," ",F27,CHAR(10),G27," ",H27,CHAR(10)," ",I27,CHAR(10),J27,CHAR(10),"0",K27)</f>
        <v>PIONS LOUIS
3800 RD 113  TRANSPORTS SUMA
13340 ROGNAC
 France
pions.louis@gmail.com
0683722548</v>
      </c>
    </row>
    <row r="28" spans="2:15">
      <c r="B28" s="24">
        <v>11</v>
      </c>
      <c r="C28" s="24" t="s">
        <v>48</v>
      </c>
      <c r="D28" s="24" t="s">
        <v>49</v>
      </c>
      <c r="E28" s="24" t="s">
        <v>93</v>
      </c>
      <c r="F28" s="24" t="s">
        <v>72</v>
      </c>
      <c r="G28" s="25">
        <v>13100</v>
      </c>
      <c r="H28" s="24" t="s">
        <v>94</v>
      </c>
      <c r="I28" s="24" t="s">
        <v>70</v>
      </c>
      <c r="J28" s="26" t="s">
        <v>118</v>
      </c>
      <c r="K28" s="27">
        <v>653854251</v>
      </c>
      <c r="L28" s="26"/>
      <c r="M28" s="153"/>
      <c r="N28" s="153"/>
      <c r="O28" s="28" t="str">
        <f>CONCATENATE(C28," ",D28,CHAR(10),E28," ",F28,CHAR(10),G28," ",H28,CHAR(10)," ",I28,CHAR(10),J28,CHAR(10),"0",K28)</f>
        <v>DEVICE JEAN-PIERRE
25 RUE DE CUQUES BAT A
13100 AIX EN PROVENCE 
 France
device.jean-pierre@gmail.com
0653854251</v>
      </c>
    </row>
    <row r="29" spans="2:15">
      <c r="B29" s="24">
        <v>12</v>
      </c>
      <c r="C29" s="24" t="s">
        <v>50</v>
      </c>
      <c r="D29" s="24" t="s">
        <v>51</v>
      </c>
      <c r="E29" s="24" t="s">
        <v>92</v>
      </c>
      <c r="F29" s="24"/>
      <c r="G29" s="25">
        <v>13008</v>
      </c>
      <c r="H29" s="24" t="s">
        <v>78</v>
      </c>
      <c r="I29" s="24" t="s">
        <v>70</v>
      </c>
      <c r="J29" s="26" t="s">
        <v>119</v>
      </c>
      <c r="K29" s="27">
        <v>615003024</v>
      </c>
      <c r="L29" s="26"/>
      <c r="M29" s="153"/>
      <c r="N29" s="153"/>
      <c r="O29" s="28" t="str">
        <f>CONCATENATE(C29," ",D29,CHAR(10),E29," ",F29,CHAR(10),G29," ",H29,CHAR(10)," ",I29,CHAR(10),J29,CHAR(10),"0",K29)</f>
        <v>MAZEL YVES
76 TRAVERSE TIBOULEN 
13008 MARSEILLE
 France
mazel.yves@gmail.com
0615003024</v>
      </c>
    </row>
    <row r="30" spans="2:15">
      <c r="B30" s="24">
        <v>13</v>
      </c>
      <c r="C30" s="24" t="s">
        <v>52</v>
      </c>
      <c r="D30" s="24" t="s">
        <v>53</v>
      </c>
      <c r="E30" s="24" t="s">
        <v>95</v>
      </c>
      <c r="F30" s="24" t="s">
        <v>96</v>
      </c>
      <c r="G30" s="25">
        <v>13005</v>
      </c>
      <c r="H30" s="24" t="s">
        <v>78</v>
      </c>
      <c r="I30" s="24" t="s">
        <v>70</v>
      </c>
      <c r="J30" s="26" t="s">
        <v>120</v>
      </c>
      <c r="K30" s="27">
        <v>649638667</v>
      </c>
      <c r="L30" s="26"/>
      <c r="M30" s="153"/>
      <c r="N30" s="153"/>
      <c r="O30" s="28" t="str">
        <f>CONCATENATE(C30," ",D30,CHAR(10),E30," ",F30,CHAR(10),G30," ",H30,CHAR(10)," ",I30,CHAR(10),J30,CHAR(10),"0",K30)</f>
        <v>CHAKMANI MAMAR
61 RUE DES VERTUES  RESIDENCE STUDELITES
13005 MARSEILLE
 France
chakmani.mamar@gmail.com
0649638667</v>
      </c>
    </row>
    <row r="31" spans="2:15">
      <c r="B31" s="24">
        <v>14</v>
      </c>
      <c r="C31" s="24" t="s">
        <v>66</v>
      </c>
      <c r="D31" s="24" t="s">
        <v>67</v>
      </c>
      <c r="E31" s="24" t="s">
        <v>97</v>
      </c>
      <c r="F31" s="24"/>
      <c r="G31" s="25">
        <v>6000</v>
      </c>
      <c r="H31" s="24" t="s">
        <v>85</v>
      </c>
      <c r="I31" s="24" t="s">
        <v>70</v>
      </c>
      <c r="J31" s="26" t="s">
        <v>121</v>
      </c>
      <c r="K31" s="27">
        <v>683503090</v>
      </c>
      <c r="L31" s="26"/>
      <c r="M31" s="153"/>
      <c r="N31" s="153"/>
      <c r="O31" s="28" t="str">
        <f>CONCATENATE(C31," ",D31,CHAR(10),E31," ",F31,CHAR(10),G31," ",H31,CHAR(10)," ",I31,CHAR(10),J31,CHAR(10),"0",K31)</f>
        <v>CISSEE MAMADA
7 AVENUE ANTONIO AUGUSTIN 
6000 NICE 
 France
cissee.mamada@gmail.com
0683503090</v>
      </c>
    </row>
    <row r="32" spans="2:15">
      <c r="B32" s="24">
        <v>15</v>
      </c>
      <c r="C32" s="24" t="s">
        <v>56</v>
      </c>
      <c r="D32" s="24" t="s">
        <v>57</v>
      </c>
      <c r="E32" s="24" t="s">
        <v>98</v>
      </c>
      <c r="F32" s="24"/>
      <c r="G32" s="25">
        <v>13170</v>
      </c>
      <c r="H32" s="24" t="s">
        <v>88</v>
      </c>
      <c r="I32" s="24" t="s">
        <v>70</v>
      </c>
      <c r="J32" s="26" t="s">
        <v>122</v>
      </c>
      <c r="K32" s="27">
        <v>679964914</v>
      </c>
      <c r="L32" s="26"/>
      <c r="M32" s="153"/>
      <c r="N32" s="153"/>
      <c r="O32" s="28" t="str">
        <f>CONCATENATE(C32," ",D32,CHAR(10),E32," ",F32,CHAR(10),G32," ",H32,CHAR(10)," ",I32,CHAR(10),J32,CHAR(10),"0",K32)</f>
        <v>FAMIGLIETI DIANE
5 IMPASSE DELMONT 
13170 LES PENNES MIRABEAU
 France
famiglieti.diane@gmail.com
0679964914</v>
      </c>
    </row>
    <row r="33" spans="2:15">
      <c r="B33" s="24">
        <v>16</v>
      </c>
      <c r="C33" s="24" t="s">
        <v>55</v>
      </c>
      <c r="D33" s="24" t="s">
        <v>54</v>
      </c>
      <c r="E33" s="24" t="s">
        <v>101</v>
      </c>
      <c r="F33" s="24"/>
      <c r="G33" s="25">
        <v>13700</v>
      </c>
      <c r="H33" s="24" t="s">
        <v>99</v>
      </c>
      <c r="I33" s="24" t="s">
        <v>70</v>
      </c>
      <c r="J33" s="26" t="s">
        <v>123</v>
      </c>
      <c r="K33" s="27">
        <v>661887318</v>
      </c>
      <c r="L33" s="26"/>
      <c r="M33" s="153"/>
      <c r="N33" s="153"/>
      <c r="O33" s="28" t="str">
        <f>CONCATENATE(C33," ",D33,CHAR(10),E33," ",F33,CHAR(10),G33," ",H33,CHAR(10)," ",I33,CHAR(10),J33,CHAR(10),"0",K33)</f>
        <v>SILLA AHMED
423 AVENUE GASTON BERGER 
13700 MARIGNANE
 France
silla.ahmed@gmail.com
0661887318</v>
      </c>
    </row>
    <row r="34" spans="2:15">
      <c r="B34" s="24">
        <v>17</v>
      </c>
      <c r="C34" s="24" t="s">
        <v>58</v>
      </c>
      <c r="D34" s="24" t="s">
        <v>59</v>
      </c>
      <c r="E34" s="24" t="s">
        <v>102</v>
      </c>
      <c r="F34" s="24"/>
      <c r="G34" s="25">
        <v>13127</v>
      </c>
      <c r="H34" s="24" t="s">
        <v>100</v>
      </c>
      <c r="I34" s="24" t="s">
        <v>70</v>
      </c>
      <c r="J34" s="26" t="s">
        <v>124</v>
      </c>
      <c r="K34" s="27">
        <v>620207771</v>
      </c>
      <c r="L34" s="26"/>
      <c r="M34" s="153"/>
      <c r="N34" s="153"/>
      <c r="O34" s="28" t="str">
        <f>CONCATENATE(C34," ",D34,CHAR(10),E34," ",F34,CHAR(10),G34," ",H34,CHAR(10)," ",I34,CHAR(10),J34,CHAR(10),"0",K34)</f>
        <v>AMORETI GIOVANI
168 RUE SAINT PIERRE 
13127 VITROLLES 
 France
amoreti.giovani@gmail.com
0620207771</v>
      </c>
    </row>
    <row r="35" spans="2:15">
      <c r="B35" s="24">
        <v>18</v>
      </c>
      <c r="C35" s="24" t="s">
        <v>65</v>
      </c>
      <c r="D35" s="24" t="s">
        <v>62</v>
      </c>
      <c r="E35" s="24" t="s">
        <v>103</v>
      </c>
      <c r="F35" s="24"/>
      <c r="G35" s="25">
        <v>13500</v>
      </c>
      <c r="H35" s="24" t="s">
        <v>107</v>
      </c>
      <c r="I35" s="24" t="s">
        <v>70</v>
      </c>
      <c r="J35" s="26" t="s">
        <v>125</v>
      </c>
      <c r="K35" s="27">
        <v>691821893</v>
      </c>
      <c r="L35" s="26"/>
      <c r="M35" s="154"/>
      <c r="N35" s="154"/>
      <c r="O35" s="28" t="str">
        <f>CONCATENATE(C35," ",D35,CHAR(10),E35," ",F35,CHAR(10),G35," ",H35,CHAR(10)," ",I35,CHAR(10),J35,CHAR(10),"0",K35)</f>
        <v>LOPES JASON
16 RUE DOCTEUR FIGHIERA  
13500 MARTIGUES
 France
lopes.jason@gmail.com
0691821893</v>
      </c>
    </row>
    <row r="36" spans="2:15">
      <c r="B36" s="24">
        <v>19</v>
      </c>
      <c r="C36" s="24" t="s">
        <v>64</v>
      </c>
      <c r="D36" s="24" t="s">
        <v>60</v>
      </c>
      <c r="E36" s="24" t="s">
        <v>104</v>
      </c>
      <c r="F36" s="24"/>
      <c r="G36" s="25">
        <v>4100</v>
      </c>
      <c r="H36" s="24" t="s">
        <v>105</v>
      </c>
      <c r="I36" s="24" t="s">
        <v>70</v>
      </c>
      <c r="J36" s="26" t="s">
        <v>126</v>
      </c>
      <c r="K36" s="27">
        <v>610913184</v>
      </c>
      <c r="L36" s="26"/>
      <c r="M36" s="153"/>
      <c r="N36" s="153"/>
      <c r="O36" s="28" t="str">
        <f>CONCATENATE(C36," ",D36,CHAR(10),E36," ",F36,CHAR(10),G36," ",H36,CHAR(10)," ",I36,CHAR(10),J36,CHAR(10),"0",K36)</f>
        <v>LOURENCO LORENZO
47 AVENUE JEAN GIONO 
4100 MANOSQUE
 France
lourenco.lorenzo@gmail.com
0610913184</v>
      </c>
    </row>
    <row r="37" spans="2:15">
      <c r="B37" s="24">
        <v>20</v>
      </c>
      <c r="C37" s="24" t="s">
        <v>63</v>
      </c>
      <c r="D37" s="24" t="s">
        <v>61</v>
      </c>
      <c r="E37" s="24" t="s">
        <v>106</v>
      </c>
      <c r="F37" s="24"/>
      <c r="G37" s="25">
        <v>13014</v>
      </c>
      <c r="H37" s="24" t="s">
        <v>78</v>
      </c>
      <c r="I37" s="24" t="s">
        <v>70</v>
      </c>
      <c r="J37" s="26" t="s">
        <v>127</v>
      </c>
      <c r="K37" s="27">
        <v>695105236</v>
      </c>
      <c r="L37" s="26"/>
      <c r="M37" s="153"/>
      <c r="N37" s="153"/>
      <c r="O37" s="28" t="str">
        <f>CONCATENATE(C37," ",D37,CHAR(10),E37," ",F37,CHAR(10),G37," ",H37,CHAR(10)," ",I37,CHAR(10),J37,CHAR(10),"0",K37)</f>
        <v>COHEN DAVID
10 CHEMIIN DU BASSIN 
13014 MARSEILLE
 France
cohen.david@gmail.com
0695105236</v>
      </c>
    </row>
  </sheetData>
  <autoFilter ref="B16:O16" xr:uid="{00000000-0009-0000-0000-000007000000}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C1C31-FEBF-477D-854C-9F44F79740FB}">
  <sheetPr codeName="Sheet1">
    <tabColor rgb="FFCC99FF"/>
  </sheetPr>
  <dimension ref="B6:I47"/>
  <sheetViews>
    <sheetView topLeftCell="A7" zoomScaleNormal="100" workbookViewId="0">
      <selection activeCell="G19" sqref="G19"/>
    </sheetView>
  </sheetViews>
  <sheetFormatPr defaultColWidth="10.90625" defaultRowHeight="14.5"/>
  <cols>
    <col min="2" max="2" width="3.81640625" customWidth="1"/>
    <col min="3" max="3" width="8.36328125" customWidth="1"/>
    <col min="4" max="4" width="15.90625" customWidth="1"/>
    <col min="5" max="5" width="13.453125" customWidth="1"/>
    <col min="6" max="7" width="14.1796875" customWidth="1"/>
    <col min="8" max="8" width="24.90625" customWidth="1"/>
  </cols>
  <sheetData>
    <row r="6" spans="2:9" ht="15" thickBot="1"/>
    <row r="7" spans="2:9" ht="28">
      <c r="B7" s="128"/>
      <c r="C7" s="129"/>
      <c r="D7" s="36"/>
      <c r="E7" s="37"/>
      <c r="F7" s="37"/>
      <c r="G7" s="37"/>
      <c r="H7" s="38"/>
      <c r="I7" s="39"/>
    </row>
    <row r="8" spans="2:9" ht="16" customHeight="1">
      <c r="B8" s="130"/>
      <c r="C8" s="131"/>
      <c r="D8" s="135" t="s">
        <v>141</v>
      </c>
      <c r="E8" s="135"/>
      <c r="F8" s="40"/>
      <c r="G8" s="40"/>
      <c r="H8" s="41"/>
      <c r="I8" s="42"/>
    </row>
    <row r="9" spans="2:9" ht="16.25" customHeight="1">
      <c r="B9" s="132"/>
      <c r="C9" s="133"/>
      <c r="D9" s="135"/>
      <c r="E9" s="135"/>
      <c r="F9" s="44"/>
      <c r="G9" s="45"/>
      <c r="H9" s="134"/>
      <c r="I9" s="46"/>
    </row>
    <row r="10" spans="2:9" ht="26" customHeight="1">
      <c r="B10" s="132"/>
      <c r="C10" s="133"/>
      <c r="D10" s="136" t="s">
        <v>143</v>
      </c>
      <c r="E10" s="43"/>
      <c r="F10" s="44"/>
      <c r="G10" s="45"/>
      <c r="H10" s="134"/>
      <c r="I10" s="46"/>
    </row>
    <row r="11" spans="2:9" ht="29.5" customHeight="1">
      <c r="B11" s="132"/>
      <c r="C11" s="133"/>
      <c r="D11" s="136"/>
      <c r="E11" s="43"/>
      <c r="F11" s="44"/>
      <c r="G11" s="45"/>
      <c r="H11" s="134"/>
      <c r="I11" s="46"/>
    </row>
    <row r="12" spans="2:9" ht="23" customHeight="1">
      <c r="B12" s="132"/>
      <c r="C12" s="133"/>
      <c r="D12" s="47" t="s">
        <v>142</v>
      </c>
      <c r="E12" s="44"/>
      <c r="F12" s="49"/>
      <c r="G12" s="44"/>
      <c r="H12" s="29" t="s">
        <v>128</v>
      </c>
      <c r="I12" s="50"/>
    </row>
    <row r="13" spans="2:9" ht="15.5">
      <c r="B13" s="132"/>
      <c r="C13" s="133"/>
      <c r="D13" s="48"/>
      <c r="E13" s="44"/>
      <c r="F13" s="51"/>
      <c r="G13" s="44"/>
      <c r="H13" s="100"/>
      <c r="I13" s="52"/>
    </row>
    <row r="14" spans="2:9" ht="15.5">
      <c r="B14" s="132"/>
      <c r="C14" s="133"/>
      <c r="D14" s="48"/>
      <c r="E14" s="44"/>
      <c r="F14" s="49"/>
      <c r="G14" s="44"/>
      <c r="H14" s="29" t="s">
        <v>14</v>
      </c>
      <c r="I14" s="50"/>
    </row>
    <row r="15" spans="2:9" ht="15.5">
      <c r="B15" s="132"/>
      <c r="C15" s="133"/>
      <c r="D15" s="48"/>
      <c r="E15" s="44"/>
      <c r="F15" s="51"/>
      <c r="G15" s="44"/>
      <c r="H15" s="51"/>
      <c r="I15" s="52"/>
    </row>
    <row r="16" spans="2:9" ht="15.5">
      <c r="B16" s="137"/>
      <c r="C16" s="138"/>
      <c r="D16" s="53"/>
      <c r="E16" s="54"/>
      <c r="F16" s="54"/>
      <c r="G16" s="127"/>
      <c r="H16" s="127"/>
      <c r="I16" s="55"/>
    </row>
    <row r="17" spans="2:9" ht="15" customHeight="1">
      <c r="B17" s="56"/>
      <c r="C17" s="141" t="s">
        <v>138</v>
      </c>
      <c r="D17" s="141"/>
      <c r="E17" s="54"/>
      <c r="F17" s="30"/>
      <c r="G17" s="31"/>
      <c r="H17" s="31"/>
      <c r="I17" s="57"/>
    </row>
    <row r="18" spans="2:9" ht="15" customHeight="1">
      <c r="B18" s="137"/>
      <c r="C18" s="138"/>
      <c r="D18" s="54"/>
      <c r="E18" s="54"/>
      <c r="F18" s="54"/>
      <c r="G18" s="54"/>
      <c r="H18" s="54"/>
      <c r="I18" s="58"/>
    </row>
    <row r="19" spans="2:9">
      <c r="B19" s="56"/>
      <c r="C19" s="139"/>
      <c r="D19" s="140"/>
      <c r="E19" s="140"/>
      <c r="F19" s="59"/>
      <c r="G19" s="59"/>
      <c r="H19" s="60"/>
      <c r="I19" s="61"/>
    </row>
    <row r="20" spans="2:9">
      <c r="B20" s="56"/>
      <c r="C20" s="140"/>
      <c r="D20" s="140"/>
      <c r="E20" s="140"/>
      <c r="F20" s="59"/>
      <c r="G20" s="59"/>
      <c r="H20" s="60"/>
      <c r="I20" s="61"/>
    </row>
    <row r="21" spans="2:9">
      <c r="B21" s="56"/>
      <c r="C21" s="140"/>
      <c r="D21" s="140"/>
      <c r="E21" s="140"/>
      <c r="F21" s="59"/>
      <c r="G21" s="59"/>
      <c r="H21" s="60"/>
      <c r="I21" s="61"/>
    </row>
    <row r="22" spans="2:9">
      <c r="B22" s="56"/>
      <c r="C22" s="140"/>
      <c r="D22" s="140"/>
      <c r="E22" s="140"/>
      <c r="F22" s="59"/>
      <c r="G22" s="59"/>
      <c r="H22" s="60"/>
      <c r="I22" s="61"/>
    </row>
    <row r="23" spans="2:9">
      <c r="B23" s="56"/>
      <c r="C23" s="140"/>
      <c r="D23" s="140"/>
      <c r="E23" s="140"/>
      <c r="F23" s="59"/>
      <c r="G23" s="59"/>
      <c r="H23" s="60"/>
      <c r="I23" s="61"/>
    </row>
    <row r="24" spans="2:9">
      <c r="B24" s="137"/>
      <c r="C24" s="138"/>
      <c r="D24" s="60"/>
      <c r="E24" s="59"/>
      <c r="F24" s="62"/>
      <c r="G24" s="62"/>
      <c r="H24" s="62"/>
      <c r="I24" s="63"/>
    </row>
    <row r="25" spans="2:9" s="35" customFormat="1" ht="14.4" customHeight="1">
      <c r="B25" s="64"/>
      <c r="C25" s="142" t="s">
        <v>155</v>
      </c>
      <c r="D25" s="142"/>
      <c r="E25" s="142"/>
      <c r="F25" s="65" t="s">
        <v>132</v>
      </c>
      <c r="G25" s="65" t="s">
        <v>135</v>
      </c>
      <c r="H25" s="65" t="s">
        <v>136</v>
      </c>
      <c r="I25" s="66"/>
    </row>
    <row r="26" spans="2:9" ht="14.4" customHeight="1">
      <c r="B26" s="56"/>
      <c r="C26" s="144"/>
      <c r="D26" s="126"/>
      <c r="E26" s="126"/>
      <c r="F26" s="126"/>
      <c r="G26" s="122" t="s">
        <v>156</v>
      </c>
      <c r="H26" s="125"/>
      <c r="I26" s="67"/>
    </row>
    <row r="27" spans="2:9">
      <c r="B27" s="56"/>
      <c r="C27" s="145"/>
      <c r="D27" s="121"/>
      <c r="E27" s="121"/>
      <c r="F27" s="121"/>
      <c r="G27" s="123"/>
      <c r="H27" s="124"/>
      <c r="I27" s="67"/>
    </row>
    <row r="28" spans="2:9">
      <c r="B28" s="56"/>
      <c r="C28" s="145"/>
      <c r="D28" s="121"/>
      <c r="E28" s="121"/>
      <c r="F28" s="121"/>
      <c r="G28" s="122" t="s">
        <v>156</v>
      </c>
      <c r="H28" s="124"/>
      <c r="I28" s="67"/>
    </row>
    <row r="29" spans="2:9">
      <c r="B29" s="56"/>
      <c r="C29" s="145"/>
      <c r="D29" s="121"/>
      <c r="E29" s="121"/>
      <c r="F29" s="121"/>
      <c r="G29" s="123"/>
      <c r="H29" s="124"/>
      <c r="I29" s="67"/>
    </row>
    <row r="30" spans="2:9">
      <c r="B30" s="56"/>
      <c r="C30" s="145"/>
      <c r="D30" s="121"/>
      <c r="E30" s="121"/>
      <c r="F30" s="121"/>
      <c r="G30" s="122" t="s">
        <v>156</v>
      </c>
      <c r="H30" s="124"/>
      <c r="I30" s="67"/>
    </row>
    <row r="31" spans="2:9">
      <c r="B31" s="56"/>
      <c r="C31" s="145"/>
      <c r="D31" s="121"/>
      <c r="E31" s="121"/>
      <c r="F31" s="121"/>
      <c r="G31" s="123"/>
      <c r="H31" s="124"/>
      <c r="I31" s="67"/>
    </row>
    <row r="32" spans="2:9">
      <c r="B32" s="56"/>
      <c r="C32" s="145"/>
      <c r="D32" s="121"/>
      <c r="E32" s="121"/>
      <c r="F32" s="121"/>
      <c r="G32" s="122" t="s">
        <v>156</v>
      </c>
      <c r="H32" s="124"/>
      <c r="I32" s="67"/>
    </row>
    <row r="33" spans="2:9">
      <c r="B33" s="56"/>
      <c r="C33" s="145"/>
      <c r="D33" s="121"/>
      <c r="E33" s="121"/>
      <c r="F33" s="121"/>
      <c r="G33" s="123"/>
      <c r="H33" s="124"/>
      <c r="I33" s="67"/>
    </row>
    <row r="34" spans="2:9">
      <c r="B34" s="56"/>
      <c r="C34" s="145"/>
      <c r="D34" s="121"/>
      <c r="E34" s="121"/>
      <c r="F34" s="121"/>
      <c r="G34" s="122" t="s">
        <v>156</v>
      </c>
      <c r="H34" s="124"/>
      <c r="I34" s="67"/>
    </row>
    <row r="35" spans="2:9">
      <c r="B35" s="56"/>
      <c r="C35" s="145"/>
      <c r="D35" s="121"/>
      <c r="E35" s="121"/>
      <c r="F35" s="121"/>
      <c r="G35" s="123"/>
      <c r="H35" s="124"/>
      <c r="I35" s="67"/>
    </row>
    <row r="36" spans="2:9">
      <c r="B36" s="99"/>
      <c r="C36" s="145"/>
      <c r="D36" s="121"/>
      <c r="E36" s="121"/>
      <c r="F36" s="121"/>
      <c r="G36" s="122" t="s">
        <v>156</v>
      </c>
      <c r="H36" s="124"/>
      <c r="I36" s="67"/>
    </row>
    <row r="37" spans="2:9" ht="15" thickBot="1">
      <c r="B37" s="56"/>
      <c r="C37" s="149"/>
      <c r="D37" s="150"/>
      <c r="E37" s="150"/>
      <c r="F37" s="150"/>
      <c r="G37" s="151"/>
      <c r="H37" s="146"/>
      <c r="I37" s="67"/>
    </row>
    <row r="38" spans="2:9" ht="22.75" customHeight="1">
      <c r="B38" s="56"/>
      <c r="C38" s="143" t="s">
        <v>137</v>
      </c>
      <c r="D38" s="143"/>
      <c r="E38" s="143"/>
      <c r="F38" s="68"/>
      <c r="G38" s="69" t="s">
        <v>144</v>
      </c>
      <c r="H38" s="32">
        <f>SUM(H26:H37)</f>
        <v>0</v>
      </c>
      <c r="I38" s="70"/>
    </row>
    <row r="39" spans="2:9" ht="15.5">
      <c r="B39" s="71"/>
      <c r="C39" s="72"/>
      <c r="D39" s="73"/>
      <c r="E39" s="73"/>
      <c r="F39" s="68"/>
      <c r="G39" s="69" t="s">
        <v>139</v>
      </c>
      <c r="H39" s="110" t="s">
        <v>156</v>
      </c>
      <c r="I39" s="70"/>
    </row>
    <row r="40" spans="2:9" ht="15.5">
      <c r="B40" s="71"/>
      <c r="C40" s="72"/>
      <c r="D40" s="73"/>
      <c r="E40" s="73"/>
      <c r="F40" s="68"/>
      <c r="G40" s="69" t="s">
        <v>140</v>
      </c>
      <c r="H40" s="33">
        <v>0</v>
      </c>
      <c r="I40" s="70"/>
    </row>
    <row r="41" spans="2:9" ht="15.5">
      <c r="B41" s="71"/>
      <c r="C41" s="72"/>
      <c r="D41" s="73"/>
      <c r="E41" s="73"/>
      <c r="F41" s="68"/>
      <c r="G41" s="69" t="s">
        <v>145</v>
      </c>
      <c r="H41" s="34">
        <v>0</v>
      </c>
      <c r="I41" s="70"/>
    </row>
    <row r="42" spans="2:9" ht="15.5">
      <c r="B42" s="71"/>
      <c r="C42" s="62"/>
      <c r="D42" s="62"/>
      <c r="E42" s="62"/>
      <c r="F42" s="68"/>
      <c r="G42" s="69" t="s">
        <v>146</v>
      </c>
      <c r="H42" s="33">
        <v>0</v>
      </c>
      <c r="I42" s="70"/>
    </row>
    <row r="43" spans="2:9" ht="16" thickBot="1">
      <c r="B43" s="71"/>
      <c r="C43" s="62"/>
      <c r="D43" s="62"/>
      <c r="E43" s="62"/>
      <c r="F43" s="68"/>
      <c r="G43" s="69" t="s">
        <v>147</v>
      </c>
      <c r="H43" s="81">
        <v>0</v>
      </c>
      <c r="I43" s="70"/>
    </row>
    <row r="44" spans="2:9" ht="23.5" thickTop="1" thickBot="1">
      <c r="B44" s="71"/>
      <c r="C44" s="72"/>
      <c r="D44" s="74"/>
      <c r="E44" s="74"/>
      <c r="F44" s="68"/>
      <c r="G44" s="82" t="s">
        <v>157</v>
      </c>
      <c r="H44" s="83" t="s">
        <v>156</v>
      </c>
      <c r="I44" s="75"/>
    </row>
    <row r="45" spans="2:9" ht="15.65" customHeight="1" thickTop="1">
      <c r="B45" s="71"/>
      <c r="C45" s="72"/>
      <c r="D45" s="72"/>
      <c r="E45" s="72"/>
      <c r="F45" s="72"/>
      <c r="G45" s="72"/>
      <c r="H45" s="72"/>
      <c r="I45" s="76"/>
    </row>
    <row r="46" spans="2:9">
      <c r="B46" s="71"/>
      <c r="C46" s="72"/>
      <c r="D46" s="72"/>
      <c r="E46" s="72"/>
      <c r="F46" s="72"/>
      <c r="G46" s="72"/>
      <c r="H46" s="72"/>
      <c r="I46" s="76"/>
    </row>
    <row r="47" spans="2:9" ht="15" thickBot="1">
      <c r="B47" s="147"/>
      <c r="C47" s="148"/>
      <c r="D47" s="77"/>
      <c r="E47" s="77"/>
      <c r="F47" s="77"/>
      <c r="G47" s="77"/>
      <c r="H47" s="77"/>
      <c r="I47" s="78"/>
    </row>
  </sheetData>
  <mergeCells count="45">
    <mergeCell ref="H36:H37"/>
    <mergeCell ref="B47:C47"/>
    <mergeCell ref="C36:E37"/>
    <mergeCell ref="F36:F37"/>
    <mergeCell ref="G36:G37"/>
    <mergeCell ref="C25:E25"/>
    <mergeCell ref="C38:E38"/>
    <mergeCell ref="C26:E27"/>
    <mergeCell ref="C28:E29"/>
    <mergeCell ref="C30:E31"/>
    <mergeCell ref="C32:E33"/>
    <mergeCell ref="C34:E35"/>
    <mergeCell ref="B24:C24"/>
    <mergeCell ref="C19:E23"/>
    <mergeCell ref="C17:D17"/>
    <mergeCell ref="B18:C18"/>
    <mergeCell ref="B12:C12"/>
    <mergeCell ref="B13:C13"/>
    <mergeCell ref="B14:C14"/>
    <mergeCell ref="B15:C15"/>
    <mergeCell ref="B16:C16"/>
    <mergeCell ref="G16:H16"/>
    <mergeCell ref="B7:C7"/>
    <mergeCell ref="B8:C8"/>
    <mergeCell ref="B9:C9"/>
    <mergeCell ref="H9:H11"/>
    <mergeCell ref="B10:C10"/>
    <mergeCell ref="B11:C11"/>
    <mergeCell ref="D8:E9"/>
    <mergeCell ref="D10:D11"/>
    <mergeCell ref="G26:G27"/>
    <mergeCell ref="H26:H27"/>
    <mergeCell ref="F28:F29"/>
    <mergeCell ref="G28:G29"/>
    <mergeCell ref="H28:H29"/>
    <mergeCell ref="F26:F27"/>
    <mergeCell ref="F34:F35"/>
    <mergeCell ref="G34:G35"/>
    <mergeCell ref="H34:H35"/>
    <mergeCell ref="F30:F31"/>
    <mergeCell ref="G30:G31"/>
    <mergeCell ref="H30:H31"/>
    <mergeCell ref="F32:F33"/>
    <mergeCell ref="G32:G33"/>
    <mergeCell ref="H32:H33"/>
  </mergeCells>
  <pageMargins left="0.7" right="0.7" top="0.75" bottom="0.75" header="0.3" footer="0.3"/>
  <pageSetup paperSize="9" scale="81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HOME</vt:lpstr>
      <vt:lpstr>Panier</vt:lpstr>
      <vt:lpstr>Base Articles</vt:lpstr>
      <vt:lpstr>Fiche Clients</vt:lpstr>
      <vt:lpstr>Template</vt:lpstr>
      <vt:lpstr>N_client</vt:lpstr>
      <vt:lpstr>'Base Articles'!N°_articles</vt:lpstr>
      <vt:lpstr>N°client</vt:lpstr>
      <vt:lpstr>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administratif</dc:creator>
  <cp:lastModifiedBy>Rayan</cp:lastModifiedBy>
  <cp:lastPrinted>2022-04-03T14:20:32Z</cp:lastPrinted>
  <dcterms:created xsi:type="dcterms:W3CDTF">2022-01-26T08:41:29Z</dcterms:created>
  <dcterms:modified xsi:type="dcterms:W3CDTF">2022-04-03T17:18:52Z</dcterms:modified>
</cp:coreProperties>
</file>